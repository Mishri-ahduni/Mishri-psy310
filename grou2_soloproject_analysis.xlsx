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2140D47-C218-4942-96B7-414F1E3CF7DB}" xr6:coauthVersionLast="47" xr6:coauthVersionMax="47" xr10:uidLastSave="{00000000-0000-0000-0000-000000000000}"/>
  <bookViews>
    <workbookView xWindow="-110" yWindow="-110" windowWidth="19420" windowHeight="10420" activeTab="4" xr2:uid="{EB4FEAD2-75F6-4700-9DB3-BA4456B5C625}"/>
  </bookViews>
  <sheets>
    <sheet name="Participant 1" sheetId="1" r:id="rId1"/>
    <sheet name="Participant 2" sheetId="2" r:id="rId2"/>
    <sheet name="Participant 3" sheetId="3" r:id="rId3"/>
    <sheet name="Participant 4" sheetId="4" r:id="rId4"/>
    <sheet name="Participant 5 " sheetId="5" r:id="rId5"/>
  </sheets>
  <definedNames>
    <definedName name="_xlnm._FilterDatabase" localSheetId="0" hidden="1">'Participant 1'!$A$1:$A$157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8" i="3" l="1"/>
  <c r="F167" i="3"/>
  <c r="O76" i="5"/>
  <c r="T77" i="5" s="1"/>
  <c r="F167" i="5"/>
  <c r="F166" i="5"/>
  <c r="F164" i="5"/>
  <c r="F163" i="5"/>
  <c r="F161" i="5"/>
  <c r="F160" i="5"/>
  <c r="F159" i="5"/>
  <c r="T76" i="5"/>
  <c r="R77" i="5"/>
  <c r="R76" i="5"/>
  <c r="L77" i="5"/>
  <c r="L76" i="5"/>
  <c r="F166" i="4"/>
  <c r="I159" i="4"/>
  <c r="F165" i="4"/>
  <c r="F163" i="4"/>
  <c r="F162" i="4"/>
  <c r="F160" i="4"/>
  <c r="F159" i="4"/>
  <c r="U77" i="4"/>
  <c r="U76" i="4"/>
  <c r="R77" i="4"/>
  <c r="R76" i="4"/>
  <c r="O76" i="4"/>
  <c r="L77" i="4"/>
  <c r="L76" i="4"/>
  <c r="F165" i="3"/>
  <c r="F164" i="3"/>
  <c r="F162" i="3"/>
  <c r="F160" i="3"/>
  <c r="F159" i="3"/>
  <c r="F168" i="2"/>
  <c r="U78" i="3"/>
  <c r="U77" i="3"/>
  <c r="R78" i="3"/>
  <c r="R77" i="3"/>
  <c r="O77" i="3"/>
  <c r="L78" i="3"/>
  <c r="L77" i="3"/>
  <c r="G157" i="5"/>
  <c r="H157" i="5"/>
  <c r="I157" i="5"/>
  <c r="F157" i="5"/>
  <c r="G79" i="5"/>
  <c r="H79" i="5"/>
  <c r="I79" i="5"/>
  <c r="F79" i="5"/>
  <c r="I157" i="4"/>
  <c r="G157" i="4"/>
  <c r="H157" i="4"/>
  <c r="F157" i="4"/>
  <c r="G79" i="4"/>
  <c r="H79" i="4"/>
  <c r="I79" i="4"/>
  <c r="F79" i="4"/>
  <c r="G157" i="3"/>
  <c r="H157" i="3"/>
  <c r="I157" i="3"/>
  <c r="F157" i="3"/>
  <c r="G79" i="3"/>
  <c r="H79" i="3"/>
  <c r="I79" i="3"/>
  <c r="F79" i="3"/>
  <c r="F167" i="2"/>
  <c r="F165" i="2"/>
  <c r="F164" i="2"/>
  <c r="F162" i="2"/>
  <c r="F160" i="2"/>
  <c r="F159" i="2"/>
  <c r="G169" i="1"/>
  <c r="U78" i="2"/>
  <c r="U77" i="2"/>
  <c r="R78" i="2"/>
  <c r="R77" i="2"/>
  <c r="O77" i="2"/>
  <c r="L78" i="2"/>
  <c r="L77" i="2"/>
  <c r="G157" i="2"/>
  <c r="H157" i="2"/>
  <c r="I157" i="2"/>
  <c r="F157" i="2"/>
  <c r="G79" i="2"/>
  <c r="H79" i="2"/>
  <c r="I79" i="2"/>
  <c r="F79" i="2"/>
  <c r="V77" i="1"/>
  <c r="G168" i="1"/>
  <c r="V76" i="1"/>
  <c r="G166" i="1"/>
  <c r="G165" i="1"/>
  <c r="G163" i="1"/>
  <c r="P76" i="1"/>
  <c r="M77" i="1"/>
  <c r="G161" i="1"/>
  <c r="M76" i="1"/>
  <c r="G160" i="1"/>
  <c r="H158" i="1"/>
  <c r="I158" i="1"/>
  <c r="J158" i="1"/>
  <c r="G158" i="1"/>
  <c r="S77" i="1"/>
  <c r="S76" i="1"/>
  <c r="H79" i="1"/>
  <c r="I79" i="1"/>
  <c r="J79" i="1"/>
  <c r="G79" i="1"/>
</calcChain>
</file>

<file path=xl/sharedStrings.xml><?xml version="1.0" encoding="utf-8"?>
<sst xmlns="http://schemas.openxmlformats.org/spreadsheetml/2006/main" count="1666" uniqueCount="42">
  <si>
    <t>D:\happyimage2.jpeg</t>
  </si>
  <si>
    <t>D:\sadimage7.jpeg</t>
  </si>
  <si>
    <t>D:\happyimage4.jpeg</t>
  </si>
  <si>
    <t>D:\sadimage1.jpeg</t>
  </si>
  <si>
    <t>D:\happyimage1.jpeg</t>
  </si>
  <si>
    <t>D:\happyimage5.jpeg</t>
  </si>
  <si>
    <t>D:\sadimage3.jpeg</t>
  </si>
  <si>
    <t>D:\sadimage2.jpeg</t>
  </si>
  <si>
    <t>D:\sadimage6.jpeg</t>
  </si>
  <si>
    <t>D:\happyimage6.jpeg</t>
  </si>
  <si>
    <t>D:\happyimage3.jpeg</t>
  </si>
  <si>
    <t>D:\happyimage7.jpeg</t>
  </si>
  <si>
    <t>D:\sadimage5.jpeg</t>
  </si>
  <si>
    <t>D:\sadimage4.jpg</t>
  </si>
  <si>
    <t>key_resp.keys</t>
  </si>
  <si>
    <t>key_resp.corr</t>
  </si>
  <si>
    <t>up</t>
  </si>
  <si>
    <t>down</t>
  </si>
  <si>
    <t>slider.response</t>
  </si>
  <si>
    <t>hit</t>
  </si>
  <si>
    <t>corr rej.</t>
  </si>
  <si>
    <t>false a</t>
  </si>
  <si>
    <t>miss</t>
  </si>
  <si>
    <t>tilt</t>
  </si>
  <si>
    <t>Aimagefile</t>
  </si>
  <si>
    <t>total</t>
  </si>
  <si>
    <t>p(hit)</t>
  </si>
  <si>
    <t>p(fa)</t>
  </si>
  <si>
    <t>d'</t>
  </si>
  <si>
    <t>meancorr</t>
  </si>
  <si>
    <t>meanincorr</t>
  </si>
  <si>
    <t>mean confidence index</t>
  </si>
  <si>
    <t>metacog effi</t>
  </si>
  <si>
    <t>meanin</t>
  </si>
  <si>
    <t>phit</t>
  </si>
  <si>
    <t>meancor</t>
  </si>
  <si>
    <t>meancon</t>
  </si>
  <si>
    <t>metacog</t>
  </si>
  <si>
    <t>mean con ind</t>
  </si>
  <si>
    <t>MCI</t>
  </si>
  <si>
    <t>meaninc</t>
  </si>
  <si>
    <t>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</si>
</sst>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47877-8CAA-459B-AFC2-A3BF70B9A874}">
  <dimension ref="A1:V169"/>
  <sheetViews>
    <sheetView topLeftCell="A166" workbookViewId="0">
      <selection activeCell="G169" sqref="G169"/>
    </sheetView>
  </sheetViews>
  <sheetFormatPr defaultRowHeight="14.5" x14ac:dyDescent="0.35"/>
  <cols>
    <col min="1" max="1" width="20.26953125" customWidth="1"/>
    <col min="2" max="2" width="5.90625" customWidth="1"/>
    <col min="3" max="4" width="13.36328125" customWidth="1"/>
    <col min="5" max="5" width="13.7265625" customWidth="1"/>
    <col min="18" max="18" width="10.1796875" customWidth="1"/>
    <col min="21" max="21" width="12.54296875" customWidth="1"/>
  </cols>
  <sheetData>
    <row r="1" spans="1:10" x14ac:dyDescent="0.35">
      <c r="A1" t="s">
        <v>24</v>
      </c>
      <c r="B1" t="s">
        <v>14</v>
      </c>
      <c r="C1" t="s">
        <v>18</v>
      </c>
      <c r="D1" t="s">
        <v>23</v>
      </c>
      <c r="E1" t="s">
        <v>15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35">
      <c r="A2" t="s">
        <v>4</v>
      </c>
      <c r="B2" t="s">
        <v>16</v>
      </c>
      <c r="C2">
        <v>5</v>
      </c>
      <c r="D2">
        <v>0</v>
      </c>
      <c r="E2">
        <v>1</v>
      </c>
      <c r="F2">
        <v>5</v>
      </c>
      <c r="G2">
        <v>1</v>
      </c>
    </row>
    <row r="3" spans="1:10" x14ac:dyDescent="0.35">
      <c r="A3" t="s">
        <v>4</v>
      </c>
      <c r="B3" t="s">
        <v>16</v>
      </c>
      <c r="C3">
        <v>4.0074074074074</v>
      </c>
      <c r="D3">
        <v>2</v>
      </c>
      <c r="E3">
        <v>0</v>
      </c>
      <c r="F3">
        <v>4.0074074074074</v>
      </c>
      <c r="I3">
        <v>1</v>
      </c>
    </row>
    <row r="4" spans="1:10" x14ac:dyDescent="0.35">
      <c r="A4" t="s">
        <v>4</v>
      </c>
      <c r="B4" t="s">
        <v>16</v>
      </c>
      <c r="C4">
        <v>5</v>
      </c>
      <c r="D4">
        <v>0</v>
      </c>
      <c r="E4">
        <v>1</v>
      </c>
      <c r="F4">
        <v>5</v>
      </c>
      <c r="G4">
        <v>1</v>
      </c>
    </row>
    <row r="5" spans="1:10" x14ac:dyDescent="0.35">
      <c r="A5" t="s">
        <v>4</v>
      </c>
      <c r="B5" t="s">
        <v>17</v>
      </c>
      <c r="C5">
        <v>5</v>
      </c>
      <c r="D5">
        <v>0</v>
      </c>
      <c r="E5">
        <v>0</v>
      </c>
      <c r="F5">
        <v>5</v>
      </c>
      <c r="J5">
        <v>1</v>
      </c>
    </row>
    <row r="6" spans="1:10" x14ac:dyDescent="0.35">
      <c r="A6" t="s">
        <v>4</v>
      </c>
      <c r="B6" t="s">
        <v>17</v>
      </c>
      <c r="C6">
        <v>5</v>
      </c>
      <c r="D6">
        <v>-9</v>
      </c>
      <c r="E6">
        <v>1</v>
      </c>
      <c r="F6">
        <v>5</v>
      </c>
      <c r="H6">
        <v>1</v>
      </c>
    </row>
    <row r="7" spans="1:10" x14ac:dyDescent="0.35">
      <c r="A7" t="s">
        <v>4</v>
      </c>
      <c r="B7" t="s">
        <v>17</v>
      </c>
      <c r="C7">
        <v>5</v>
      </c>
      <c r="D7">
        <v>7</v>
      </c>
      <c r="E7">
        <v>1</v>
      </c>
      <c r="F7">
        <v>5</v>
      </c>
      <c r="H7">
        <v>1</v>
      </c>
    </row>
    <row r="8" spans="1:10" x14ac:dyDescent="0.35">
      <c r="A8" t="s">
        <v>4</v>
      </c>
      <c r="B8" t="s">
        <v>16</v>
      </c>
      <c r="C8">
        <v>5</v>
      </c>
      <c r="D8">
        <v>0</v>
      </c>
      <c r="E8">
        <v>1</v>
      </c>
      <c r="F8">
        <v>5</v>
      </c>
      <c r="G8">
        <v>1</v>
      </c>
    </row>
    <row r="9" spans="1:10" x14ac:dyDescent="0.35">
      <c r="A9" t="s">
        <v>4</v>
      </c>
      <c r="B9" t="s">
        <v>16</v>
      </c>
      <c r="C9">
        <v>5</v>
      </c>
      <c r="D9">
        <v>0</v>
      </c>
      <c r="E9">
        <v>1</v>
      </c>
      <c r="F9">
        <v>5</v>
      </c>
      <c r="G9">
        <v>1</v>
      </c>
    </row>
    <row r="10" spans="1:10" x14ac:dyDescent="0.35">
      <c r="A10" t="s">
        <v>4</v>
      </c>
      <c r="B10" t="s">
        <v>17</v>
      </c>
      <c r="C10">
        <v>5</v>
      </c>
      <c r="D10">
        <v>-6</v>
      </c>
      <c r="E10">
        <v>1</v>
      </c>
      <c r="F10">
        <v>5</v>
      </c>
      <c r="H10">
        <v>1</v>
      </c>
    </row>
    <row r="11" spans="1:10" x14ac:dyDescent="0.35">
      <c r="A11" t="s">
        <v>4</v>
      </c>
      <c r="B11" t="s">
        <v>16</v>
      </c>
      <c r="C11">
        <v>5</v>
      </c>
      <c r="D11">
        <v>0</v>
      </c>
      <c r="E11">
        <v>1</v>
      </c>
      <c r="F11">
        <v>5</v>
      </c>
      <c r="G11">
        <v>1</v>
      </c>
    </row>
    <row r="12" spans="1:10" x14ac:dyDescent="0.35">
      <c r="A12" t="s">
        <v>4</v>
      </c>
      <c r="B12" t="s">
        <v>17</v>
      </c>
      <c r="C12">
        <v>5</v>
      </c>
      <c r="D12">
        <v>4</v>
      </c>
      <c r="E12">
        <v>1</v>
      </c>
      <c r="F12">
        <v>5</v>
      </c>
      <c r="H12">
        <v>1</v>
      </c>
    </row>
    <row r="13" spans="1:10" x14ac:dyDescent="0.35">
      <c r="A13" t="s">
        <v>0</v>
      </c>
      <c r="B13" t="s">
        <v>16</v>
      </c>
      <c r="C13">
        <v>5</v>
      </c>
      <c r="D13">
        <v>0</v>
      </c>
      <c r="E13">
        <v>1</v>
      </c>
      <c r="F13">
        <v>5</v>
      </c>
      <c r="G13">
        <v>1</v>
      </c>
    </row>
    <row r="14" spans="1:10" x14ac:dyDescent="0.35">
      <c r="A14" t="s">
        <v>0</v>
      </c>
      <c r="B14" t="s">
        <v>17</v>
      </c>
      <c r="C14">
        <v>5</v>
      </c>
      <c r="D14">
        <v>5</v>
      </c>
      <c r="E14">
        <v>1</v>
      </c>
      <c r="F14">
        <v>5</v>
      </c>
      <c r="H14">
        <v>1</v>
      </c>
    </row>
    <row r="15" spans="1:10" x14ac:dyDescent="0.35">
      <c r="A15" t="s">
        <v>0</v>
      </c>
      <c r="B15" t="s">
        <v>16</v>
      </c>
      <c r="C15">
        <v>5</v>
      </c>
      <c r="D15">
        <v>-8</v>
      </c>
      <c r="E15">
        <v>0</v>
      </c>
      <c r="F15">
        <v>5</v>
      </c>
      <c r="I15">
        <v>1</v>
      </c>
    </row>
    <row r="16" spans="1:10" x14ac:dyDescent="0.35">
      <c r="A16" t="s">
        <v>0</v>
      </c>
      <c r="B16" t="s">
        <v>16</v>
      </c>
      <c r="C16">
        <v>5</v>
      </c>
      <c r="D16">
        <v>-2</v>
      </c>
      <c r="E16">
        <v>0</v>
      </c>
      <c r="F16">
        <v>5</v>
      </c>
      <c r="I16">
        <v>1</v>
      </c>
    </row>
    <row r="17" spans="1:9" x14ac:dyDescent="0.35">
      <c r="A17" t="s">
        <v>0</v>
      </c>
      <c r="B17" t="s">
        <v>16</v>
      </c>
      <c r="C17">
        <v>5</v>
      </c>
      <c r="D17">
        <v>0</v>
      </c>
      <c r="E17">
        <v>1</v>
      </c>
      <c r="F17">
        <v>5</v>
      </c>
      <c r="G17">
        <v>1</v>
      </c>
    </row>
    <row r="18" spans="1:9" x14ac:dyDescent="0.35">
      <c r="A18" t="s">
        <v>0</v>
      </c>
      <c r="B18" t="s">
        <v>16</v>
      </c>
      <c r="C18">
        <v>5</v>
      </c>
      <c r="D18">
        <v>-4</v>
      </c>
      <c r="E18">
        <v>0</v>
      </c>
      <c r="F18">
        <v>5</v>
      </c>
      <c r="I18">
        <v>1</v>
      </c>
    </row>
    <row r="19" spans="1:9" x14ac:dyDescent="0.35">
      <c r="A19" t="s">
        <v>0</v>
      </c>
      <c r="B19" t="s">
        <v>17</v>
      </c>
      <c r="C19">
        <v>5</v>
      </c>
      <c r="D19">
        <v>7</v>
      </c>
      <c r="E19">
        <v>1</v>
      </c>
      <c r="F19">
        <v>5</v>
      </c>
      <c r="H19">
        <v>1</v>
      </c>
    </row>
    <row r="20" spans="1:9" x14ac:dyDescent="0.35">
      <c r="A20" t="s">
        <v>0</v>
      </c>
      <c r="B20" t="s">
        <v>17</v>
      </c>
      <c r="C20">
        <v>5</v>
      </c>
      <c r="D20">
        <v>-7</v>
      </c>
      <c r="E20">
        <v>1</v>
      </c>
      <c r="F20">
        <v>5</v>
      </c>
      <c r="H20">
        <v>1</v>
      </c>
    </row>
    <row r="21" spans="1:9" x14ac:dyDescent="0.35">
      <c r="A21" t="s">
        <v>0</v>
      </c>
      <c r="B21" t="s">
        <v>16</v>
      </c>
      <c r="C21">
        <v>5</v>
      </c>
      <c r="D21">
        <v>0</v>
      </c>
      <c r="E21">
        <v>1</v>
      </c>
      <c r="F21">
        <v>5</v>
      </c>
      <c r="G21">
        <v>1</v>
      </c>
    </row>
    <row r="22" spans="1:9" x14ac:dyDescent="0.35">
      <c r="A22" t="s">
        <v>0</v>
      </c>
      <c r="B22" t="s">
        <v>17</v>
      </c>
      <c r="C22">
        <v>5</v>
      </c>
      <c r="D22">
        <v>6</v>
      </c>
      <c r="E22">
        <v>1</v>
      </c>
      <c r="F22">
        <v>5</v>
      </c>
      <c r="H22">
        <v>1</v>
      </c>
    </row>
    <row r="23" spans="1:9" x14ac:dyDescent="0.35">
      <c r="A23" t="s">
        <v>0</v>
      </c>
      <c r="B23" t="s">
        <v>17</v>
      </c>
      <c r="C23">
        <v>4.0037037037037004</v>
      </c>
      <c r="D23">
        <v>-1</v>
      </c>
      <c r="E23">
        <v>1</v>
      </c>
      <c r="F23">
        <v>4.0037037037037004</v>
      </c>
      <c r="H23">
        <v>1</v>
      </c>
    </row>
    <row r="24" spans="1:9" x14ac:dyDescent="0.35">
      <c r="A24" t="s">
        <v>10</v>
      </c>
      <c r="B24" t="s">
        <v>16</v>
      </c>
      <c r="C24">
        <v>5</v>
      </c>
      <c r="D24">
        <v>0</v>
      </c>
      <c r="E24">
        <v>1</v>
      </c>
      <c r="F24">
        <v>5</v>
      </c>
      <c r="G24">
        <v>1</v>
      </c>
    </row>
    <row r="25" spans="1:9" x14ac:dyDescent="0.35">
      <c r="A25" t="s">
        <v>10</v>
      </c>
      <c r="B25" t="s">
        <v>16</v>
      </c>
      <c r="C25">
        <v>5</v>
      </c>
      <c r="D25">
        <v>0</v>
      </c>
      <c r="E25">
        <v>1</v>
      </c>
      <c r="F25">
        <v>5</v>
      </c>
      <c r="G25">
        <v>1</v>
      </c>
    </row>
    <row r="26" spans="1:9" x14ac:dyDescent="0.35">
      <c r="A26" t="s">
        <v>10</v>
      </c>
      <c r="B26" t="s">
        <v>17</v>
      </c>
      <c r="C26">
        <v>5</v>
      </c>
      <c r="D26">
        <v>0</v>
      </c>
      <c r="E26">
        <v>1</v>
      </c>
      <c r="F26">
        <v>5</v>
      </c>
      <c r="G26">
        <v>1</v>
      </c>
    </row>
    <row r="27" spans="1:9" x14ac:dyDescent="0.35">
      <c r="A27" t="s">
        <v>10</v>
      </c>
      <c r="B27" t="s">
        <v>16</v>
      </c>
      <c r="C27">
        <v>5</v>
      </c>
      <c r="D27">
        <v>0</v>
      </c>
      <c r="E27">
        <v>1</v>
      </c>
      <c r="F27">
        <v>5</v>
      </c>
      <c r="G27">
        <v>1</v>
      </c>
    </row>
    <row r="28" spans="1:9" x14ac:dyDescent="0.35">
      <c r="A28" t="s">
        <v>10</v>
      </c>
      <c r="B28" t="s">
        <v>16</v>
      </c>
      <c r="C28">
        <v>5</v>
      </c>
      <c r="D28">
        <v>0</v>
      </c>
      <c r="E28">
        <v>1</v>
      </c>
      <c r="F28">
        <v>5</v>
      </c>
      <c r="G28">
        <v>1</v>
      </c>
    </row>
    <row r="29" spans="1:9" x14ac:dyDescent="0.35">
      <c r="A29" t="s">
        <v>10</v>
      </c>
      <c r="B29" t="s">
        <v>16</v>
      </c>
      <c r="C29">
        <v>5</v>
      </c>
      <c r="D29">
        <v>0</v>
      </c>
      <c r="E29">
        <v>1</v>
      </c>
      <c r="F29">
        <v>5</v>
      </c>
      <c r="G29">
        <v>1</v>
      </c>
    </row>
    <row r="30" spans="1:9" x14ac:dyDescent="0.35">
      <c r="A30" t="s">
        <v>10</v>
      </c>
      <c r="B30" t="s">
        <v>17</v>
      </c>
      <c r="C30">
        <v>5</v>
      </c>
      <c r="D30">
        <v>-10</v>
      </c>
      <c r="E30">
        <v>1</v>
      </c>
      <c r="F30">
        <v>5</v>
      </c>
      <c r="H30">
        <v>1</v>
      </c>
    </row>
    <row r="31" spans="1:9" x14ac:dyDescent="0.35">
      <c r="A31" t="s">
        <v>10</v>
      </c>
      <c r="B31" t="s">
        <v>16</v>
      </c>
      <c r="C31">
        <v>5</v>
      </c>
      <c r="D31">
        <v>0</v>
      </c>
      <c r="E31">
        <v>1</v>
      </c>
      <c r="F31">
        <v>5</v>
      </c>
      <c r="G31">
        <v>1</v>
      </c>
    </row>
    <row r="32" spans="1:9" x14ac:dyDescent="0.35">
      <c r="A32" t="s">
        <v>10</v>
      </c>
      <c r="B32" t="s">
        <v>17</v>
      </c>
      <c r="C32">
        <v>5</v>
      </c>
      <c r="D32">
        <v>8</v>
      </c>
      <c r="E32">
        <v>1</v>
      </c>
      <c r="F32">
        <v>5</v>
      </c>
      <c r="H32">
        <v>1</v>
      </c>
    </row>
    <row r="33" spans="1:9" x14ac:dyDescent="0.35">
      <c r="A33" t="s">
        <v>10</v>
      </c>
      <c r="B33" t="s">
        <v>16</v>
      </c>
      <c r="C33">
        <v>5</v>
      </c>
      <c r="D33">
        <v>0</v>
      </c>
      <c r="E33">
        <v>1</v>
      </c>
      <c r="F33">
        <v>5</v>
      </c>
      <c r="G33">
        <v>1</v>
      </c>
    </row>
    <row r="34" spans="1:9" x14ac:dyDescent="0.35">
      <c r="A34" t="s">
        <v>10</v>
      </c>
      <c r="B34" t="s">
        <v>16</v>
      </c>
      <c r="C34">
        <v>5</v>
      </c>
      <c r="D34">
        <v>0</v>
      </c>
      <c r="E34">
        <v>1</v>
      </c>
      <c r="F34">
        <v>5</v>
      </c>
      <c r="G34">
        <v>1</v>
      </c>
    </row>
    <row r="35" spans="1:9" x14ac:dyDescent="0.35">
      <c r="A35" t="s">
        <v>2</v>
      </c>
      <c r="B35" t="s">
        <v>16</v>
      </c>
      <c r="C35">
        <v>5</v>
      </c>
      <c r="D35">
        <v>0</v>
      </c>
      <c r="E35">
        <v>1</v>
      </c>
      <c r="F35">
        <v>5</v>
      </c>
      <c r="G35">
        <v>1</v>
      </c>
    </row>
    <row r="36" spans="1:9" x14ac:dyDescent="0.35">
      <c r="A36" t="s">
        <v>2</v>
      </c>
      <c r="B36" t="s">
        <v>16</v>
      </c>
      <c r="C36">
        <v>5</v>
      </c>
      <c r="D36">
        <v>0</v>
      </c>
      <c r="E36">
        <v>1</v>
      </c>
      <c r="F36">
        <v>5</v>
      </c>
      <c r="G36">
        <v>1</v>
      </c>
    </row>
    <row r="37" spans="1:9" x14ac:dyDescent="0.35">
      <c r="A37" t="s">
        <v>2</v>
      </c>
      <c r="B37" t="s">
        <v>17</v>
      </c>
      <c r="C37">
        <v>5</v>
      </c>
      <c r="D37">
        <v>-5</v>
      </c>
      <c r="E37">
        <v>1</v>
      </c>
      <c r="F37">
        <v>5</v>
      </c>
      <c r="H37">
        <v>1</v>
      </c>
    </row>
    <row r="38" spans="1:9" x14ac:dyDescent="0.35">
      <c r="A38" t="s">
        <v>2</v>
      </c>
      <c r="B38" t="s">
        <v>17</v>
      </c>
      <c r="C38">
        <v>5</v>
      </c>
      <c r="D38">
        <v>7</v>
      </c>
      <c r="E38">
        <v>1</v>
      </c>
      <c r="F38">
        <v>5</v>
      </c>
      <c r="H38">
        <v>1</v>
      </c>
    </row>
    <row r="39" spans="1:9" x14ac:dyDescent="0.35">
      <c r="A39" t="s">
        <v>2</v>
      </c>
      <c r="B39" t="s">
        <v>16</v>
      </c>
      <c r="C39">
        <v>5</v>
      </c>
      <c r="D39">
        <v>0</v>
      </c>
      <c r="E39">
        <v>1</v>
      </c>
      <c r="F39">
        <v>5</v>
      </c>
      <c r="G39">
        <v>1</v>
      </c>
    </row>
    <row r="40" spans="1:9" x14ac:dyDescent="0.35">
      <c r="A40" t="s">
        <v>2</v>
      </c>
      <c r="B40" t="s">
        <v>16</v>
      </c>
      <c r="C40">
        <v>5</v>
      </c>
      <c r="D40">
        <v>0</v>
      </c>
      <c r="E40">
        <v>1</v>
      </c>
      <c r="F40">
        <v>5</v>
      </c>
      <c r="G40">
        <v>1</v>
      </c>
    </row>
    <row r="41" spans="1:9" x14ac:dyDescent="0.35">
      <c r="A41" t="s">
        <v>2</v>
      </c>
      <c r="B41" t="s">
        <v>16</v>
      </c>
      <c r="C41">
        <v>5</v>
      </c>
      <c r="D41">
        <v>2</v>
      </c>
      <c r="E41">
        <v>0</v>
      </c>
      <c r="F41">
        <v>5</v>
      </c>
      <c r="I41">
        <v>1</v>
      </c>
    </row>
    <row r="42" spans="1:9" x14ac:dyDescent="0.35">
      <c r="A42" t="s">
        <v>2</v>
      </c>
      <c r="B42" t="s">
        <v>16</v>
      </c>
      <c r="C42">
        <v>4.9925925925925903</v>
      </c>
      <c r="D42">
        <v>-1</v>
      </c>
      <c r="E42">
        <v>0</v>
      </c>
      <c r="F42">
        <v>4.9925925925925903</v>
      </c>
      <c r="I42">
        <v>1</v>
      </c>
    </row>
    <row r="43" spans="1:9" x14ac:dyDescent="0.35">
      <c r="A43" t="s">
        <v>2</v>
      </c>
      <c r="B43" t="s">
        <v>16</v>
      </c>
      <c r="C43">
        <v>5</v>
      </c>
      <c r="D43">
        <v>0</v>
      </c>
      <c r="E43">
        <v>1</v>
      </c>
      <c r="F43">
        <v>5</v>
      </c>
      <c r="G43">
        <v>1</v>
      </c>
    </row>
    <row r="44" spans="1:9" x14ac:dyDescent="0.35">
      <c r="A44" t="s">
        <v>2</v>
      </c>
      <c r="B44" t="s">
        <v>16</v>
      </c>
      <c r="C44">
        <v>4.98888888888888</v>
      </c>
      <c r="D44">
        <v>0</v>
      </c>
      <c r="E44">
        <v>1</v>
      </c>
      <c r="F44">
        <v>4.98888888888888</v>
      </c>
      <c r="G44">
        <v>1</v>
      </c>
    </row>
    <row r="45" spans="1:9" x14ac:dyDescent="0.35">
      <c r="A45" t="s">
        <v>2</v>
      </c>
      <c r="B45" t="s">
        <v>16</v>
      </c>
      <c r="C45">
        <v>5</v>
      </c>
      <c r="D45">
        <v>0</v>
      </c>
      <c r="E45">
        <v>1</v>
      </c>
      <c r="F45">
        <v>5</v>
      </c>
      <c r="G45">
        <v>1</v>
      </c>
    </row>
    <row r="46" spans="1:9" x14ac:dyDescent="0.35">
      <c r="A46" t="s">
        <v>5</v>
      </c>
      <c r="B46" t="s">
        <v>16</v>
      </c>
      <c r="C46">
        <v>5</v>
      </c>
      <c r="D46">
        <v>0</v>
      </c>
      <c r="E46">
        <v>1</v>
      </c>
      <c r="F46">
        <v>5</v>
      </c>
      <c r="G46">
        <v>1</v>
      </c>
    </row>
    <row r="47" spans="1:9" x14ac:dyDescent="0.35">
      <c r="A47" t="s">
        <v>5</v>
      </c>
      <c r="B47" t="s">
        <v>16</v>
      </c>
      <c r="C47">
        <v>5</v>
      </c>
      <c r="D47">
        <v>0</v>
      </c>
      <c r="E47">
        <v>1</v>
      </c>
      <c r="F47">
        <v>5</v>
      </c>
      <c r="G47">
        <v>1</v>
      </c>
    </row>
    <row r="48" spans="1:9" x14ac:dyDescent="0.35">
      <c r="A48" t="s">
        <v>5</v>
      </c>
      <c r="B48" t="s">
        <v>16</v>
      </c>
      <c r="C48">
        <v>5</v>
      </c>
      <c r="D48">
        <v>0</v>
      </c>
      <c r="E48">
        <v>1</v>
      </c>
      <c r="F48">
        <v>5</v>
      </c>
      <c r="G48">
        <v>1</v>
      </c>
    </row>
    <row r="49" spans="1:10" x14ac:dyDescent="0.35">
      <c r="A49" t="s">
        <v>5</v>
      </c>
      <c r="B49" t="s">
        <v>17</v>
      </c>
      <c r="C49">
        <v>5</v>
      </c>
      <c r="D49">
        <v>0</v>
      </c>
      <c r="E49">
        <v>0</v>
      </c>
      <c r="F49">
        <v>5</v>
      </c>
      <c r="J49">
        <v>1</v>
      </c>
    </row>
    <row r="50" spans="1:10" x14ac:dyDescent="0.35">
      <c r="A50" t="s">
        <v>5</v>
      </c>
      <c r="B50" t="s">
        <v>17</v>
      </c>
      <c r="C50">
        <v>5</v>
      </c>
      <c r="D50">
        <v>-7</v>
      </c>
      <c r="E50">
        <v>1</v>
      </c>
      <c r="F50">
        <v>5</v>
      </c>
      <c r="H50">
        <v>1</v>
      </c>
    </row>
    <row r="51" spans="1:10" x14ac:dyDescent="0.35">
      <c r="A51" t="s">
        <v>5</v>
      </c>
      <c r="B51" t="s">
        <v>16</v>
      </c>
      <c r="C51">
        <v>5</v>
      </c>
      <c r="D51">
        <v>0</v>
      </c>
      <c r="E51">
        <v>1</v>
      </c>
      <c r="F51">
        <v>5</v>
      </c>
      <c r="G51">
        <v>1</v>
      </c>
    </row>
    <row r="52" spans="1:10" x14ac:dyDescent="0.35">
      <c r="A52" t="s">
        <v>5</v>
      </c>
      <c r="B52" t="s">
        <v>16</v>
      </c>
      <c r="C52">
        <v>5</v>
      </c>
      <c r="D52">
        <v>0</v>
      </c>
      <c r="E52">
        <v>1</v>
      </c>
      <c r="F52">
        <v>5</v>
      </c>
      <c r="G52">
        <v>1</v>
      </c>
    </row>
    <row r="53" spans="1:10" x14ac:dyDescent="0.35">
      <c r="A53" t="s">
        <v>5</v>
      </c>
      <c r="B53" t="s">
        <v>16</v>
      </c>
      <c r="C53">
        <v>5</v>
      </c>
      <c r="D53">
        <v>0</v>
      </c>
      <c r="E53">
        <v>1</v>
      </c>
      <c r="F53">
        <v>5</v>
      </c>
      <c r="G53">
        <v>1</v>
      </c>
    </row>
    <row r="54" spans="1:10" x14ac:dyDescent="0.35">
      <c r="A54" t="s">
        <v>5</v>
      </c>
      <c r="B54" t="s">
        <v>16</v>
      </c>
      <c r="C54">
        <v>5</v>
      </c>
      <c r="D54">
        <v>0</v>
      </c>
      <c r="E54">
        <v>1</v>
      </c>
      <c r="F54">
        <v>5</v>
      </c>
      <c r="G54">
        <v>1</v>
      </c>
    </row>
    <row r="55" spans="1:10" x14ac:dyDescent="0.35">
      <c r="A55" t="s">
        <v>5</v>
      </c>
      <c r="B55" t="s">
        <v>16</v>
      </c>
      <c r="C55">
        <v>5</v>
      </c>
      <c r="D55">
        <v>0</v>
      </c>
      <c r="E55">
        <v>1</v>
      </c>
      <c r="F55">
        <v>5</v>
      </c>
      <c r="G55">
        <v>1</v>
      </c>
    </row>
    <row r="56" spans="1:10" x14ac:dyDescent="0.35">
      <c r="A56" t="s">
        <v>5</v>
      </c>
      <c r="B56" t="s">
        <v>16</v>
      </c>
      <c r="C56">
        <v>5</v>
      </c>
      <c r="D56">
        <v>0</v>
      </c>
      <c r="E56">
        <v>1</v>
      </c>
      <c r="F56">
        <v>5</v>
      </c>
      <c r="G56">
        <v>1</v>
      </c>
    </row>
    <row r="57" spans="1:10" x14ac:dyDescent="0.35">
      <c r="A57" t="s">
        <v>9</v>
      </c>
      <c r="B57" t="s">
        <v>16</v>
      </c>
      <c r="C57">
        <v>5</v>
      </c>
      <c r="D57">
        <v>0</v>
      </c>
      <c r="E57">
        <v>1</v>
      </c>
      <c r="F57">
        <v>5</v>
      </c>
      <c r="G57">
        <v>1</v>
      </c>
    </row>
    <row r="58" spans="1:10" x14ac:dyDescent="0.35">
      <c r="A58" t="s">
        <v>9</v>
      </c>
      <c r="B58" t="s">
        <v>17</v>
      </c>
      <c r="C58">
        <v>5</v>
      </c>
      <c r="D58">
        <v>0</v>
      </c>
      <c r="E58">
        <v>0</v>
      </c>
      <c r="F58">
        <v>5</v>
      </c>
      <c r="J58">
        <v>1</v>
      </c>
    </row>
    <row r="59" spans="1:10" x14ac:dyDescent="0.35">
      <c r="A59" t="s">
        <v>9</v>
      </c>
      <c r="B59" t="s">
        <v>17</v>
      </c>
      <c r="C59">
        <v>5</v>
      </c>
      <c r="D59">
        <v>0</v>
      </c>
      <c r="E59">
        <v>0</v>
      </c>
      <c r="F59">
        <v>5</v>
      </c>
      <c r="J59">
        <v>1</v>
      </c>
    </row>
    <row r="60" spans="1:10" x14ac:dyDescent="0.35">
      <c r="A60" t="s">
        <v>9</v>
      </c>
      <c r="B60" t="s">
        <v>17</v>
      </c>
      <c r="C60">
        <v>5</v>
      </c>
      <c r="D60">
        <v>-3</v>
      </c>
      <c r="E60">
        <v>1</v>
      </c>
      <c r="F60">
        <v>5</v>
      </c>
      <c r="H60">
        <v>1</v>
      </c>
    </row>
    <row r="61" spans="1:10" x14ac:dyDescent="0.35">
      <c r="A61" t="s">
        <v>9</v>
      </c>
      <c r="B61" t="s">
        <v>17</v>
      </c>
      <c r="C61">
        <v>4.9629629629629601</v>
      </c>
      <c r="D61">
        <v>4</v>
      </c>
      <c r="E61">
        <v>1</v>
      </c>
      <c r="F61">
        <v>4.9629629629629601</v>
      </c>
      <c r="H61">
        <v>1</v>
      </c>
    </row>
    <row r="62" spans="1:10" x14ac:dyDescent="0.35">
      <c r="A62" t="s">
        <v>9</v>
      </c>
      <c r="B62" t="s">
        <v>17</v>
      </c>
      <c r="C62">
        <v>5</v>
      </c>
      <c r="D62">
        <v>6</v>
      </c>
      <c r="E62">
        <v>1</v>
      </c>
      <c r="F62">
        <v>5</v>
      </c>
      <c r="H62">
        <v>1</v>
      </c>
    </row>
    <row r="63" spans="1:10" x14ac:dyDescent="0.35">
      <c r="A63" t="s">
        <v>9</v>
      </c>
      <c r="B63" t="s">
        <v>16</v>
      </c>
      <c r="C63">
        <v>5</v>
      </c>
      <c r="D63">
        <v>0</v>
      </c>
      <c r="E63">
        <v>1</v>
      </c>
      <c r="F63">
        <v>5</v>
      </c>
      <c r="G63">
        <v>1</v>
      </c>
    </row>
    <row r="64" spans="1:10" x14ac:dyDescent="0.35">
      <c r="A64" t="s">
        <v>9</v>
      </c>
      <c r="B64" t="s">
        <v>16</v>
      </c>
      <c r="C64">
        <v>5</v>
      </c>
      <c r="D64">
        <v>0</v>
      </c>
      <c r="E64">
        <v>0</v>
      </c>
      <c r="F64">
        <v>5</v>
      </c>
      <c r="J64">
        <v>1</v>
      </c>
    </row>
    <row r="65" spans="1:22" x14ac:dyDescent="0.35">
      <c r="A65" t="s">
        <v>9</v>
      </c>
      <c r="B65" t="s">
        <v>16</v>
      </c>
      <c r="C65">
        <v>5</v>
      </c>
      <c r="D65">
        <v>0</v>
      </c>
      <c r="E65">
        <v>1</v>
      </c>
      <c r="F65">
        <v>5</v>
      </c>
      <c r="G65">
        <v>1</v>
      </c>
    </row>
    <row r="66" spans="1:22" x14ac:dyDescent="0.35">
      <c r="A66" t="s">
        <v>9</v>
      </c>
      <c r="B66" t="s">
        <v>17</v>
      </c>
      <c r="C66">
        <v>5</v>
      </c>
      <c r="D66">
        <v>-3</v>
      </c>
      <c r="E66">
        <v>1</v>
      </c>
      <c r="F66">
        <v>5</v>
      </c>
      <c r="H66">
        <v>1</v>
      </c>
    </row>
    <row r="67" spans="1:22" x14ac:dyDescent="0.35">
      <c r="A67" t="s">
        <v>9</v>
      </c>
      <c r="B67" t="s">
        <v>16</v>
      </c>
      <c r="C67">
        <v>5</v>
      </c>
      <c r="D67">
        <v>0</v>
      </c>
      <c r="E67">
        <v>1</v>
      </c>
      <c r="F67">
        <v>5</v>
      </c>
      <c r="G67">
        <v>1</v>
      </c>
    </row>
    <row r="68" spans="1:22" x14ac:dyDescent="0.35">
      <c r="A68" t="s">
        <v>11</v>
      </c>
      <c r="B68" t="s">
        <v>17</v>
      </c>
      <c r="C68">
        <v>5</v>
      </c>
      <c r="D68">
        <v>8</v>
      </c>
      <c r="E68">
        <v>1</v>
      </c>
      <c r="F68">
        <v>5</v>
      </c>
      <c r="H68">
        <v>1</v>
      </c>
    </row>
    <row r="69" spans="1:22" x14ac:dyDescent="0.35">
      <c r="A69" t="s">
        <v>11</v>
      </c>
      <c r="B69" t="s">
        <v>17</v>
      </c>
      <c r="C69">
        <v>5</v>
      </c>
      <c r="D69">
        <v>2</v>
      </c>
      <c r="E69">
        <v>1</v>
      </c>
      <c r="F69">
        <v>5</v>
      </c>
      <c r="H69">
        <v>1</v>
      </c>
    </row>
    <row r="70" spans="1:22" x14ac:dyDescent="0.35">
      <c r="A70" t="s">
        <v>11</v>
      </c>
      <c r="B70" t="s">
        <v>17</v>
      </c>
      <c r="C70">
        <v>5</v>
      </c>
      <c r="D70">
        <v>4</v>
      </c>
      <c r="E70">
        <v>1</v>
      </c>
      <c r="F70">
        <v>5</v>
      </c>
      <c r="H70">
        <v>1</v>
      </c>
    </row>
    <row r="71" spans="1:22" x14ac:dyDescent="0.35">
      <c r="A71" t="s">
        <v>11</v>
      </c>
      <c r="B71" t="s">
        <v>16</v>
      </c>
      <c r="C71">
        <v>5</v>
      </c>
      <c r="D71">
        <v>0</v>
      </c>
      <c r="E71">
        <v>1</v>
      </c>
      <c r="F71">
        <v>5</v>
      </c>
      <c r="G71">
        <v>1</v>
      </c>
    </row>
    <row r="72" spans="1:22" x14ac:dyDescent="0.35">
      <c r="A72" t="s">
        <v>11</v>
      </c>
      <c r="B72" t="s">
        <v>17</v>
      </c>
      <c r="C72">
        <v>5</v>
      </c>
      <c r="D72">
        <v>0</v>
      </c>
      <c r="E72">
        <v>0</v>
      </c>
      <c r="F72">
        <v>5</v>
      </c>
      <c r="J72">
        <v>1</v>
      </c>
    </row>
    <row r="73" spans="1:22" x14ac:dyDescent="0.35">
      <c r="A73" t="s">
        <v>11</v>
      </c>
      <c r="B73" t="s">
        <v>17</v>
      </c>
      <c r="C73">
        <v>5</v>
      </c>
      <c r="D73">
        <v>6</v>
      </c>
      <c r="E73">
        <v>1</v>
      </c>
      <c r="F73">
        <v>5</v>
      </c>
      <c r="H73">
        <v>1</v>
      </c>
    </row>
    <row r="74" spans="1:22" x14ac:dyDescent="0.35">
      <c r="A74" t="s">
        <v>11</v>
      </c>
      <c r="B74" t="s">
        <v>17</v>
      </c>
      <c r="C74">
        <v>5</v>
      </c>
      <c r="D74">
        <v>8</v>
      </c>
      <c r="E74">
        <v>1</v>
      </c>
      <c r="F74">
        <v>5</v>
      </c>
      <c r="H74">
        <v>1</v>
      </c>
    </row>
    <row r="75" spans="1:22" x14ac:dyDescent="0.35">
      <c r="A75" t="s">
        <v>11</v>
      </c>
      <c r="B75" t="s">
        <v>17</v>
      </c>
      <c r="C75">
        <v>5</v>
      </c>
      <c r="D75">
        <v>-10</v>
      </c>
      <c r="E75">
        <v>1</v>
      </c>
      <c r="F75">
        <v>5</v>
      </c>
      <c r="H75">
        <v>1</v>
      </c>
    </row>
    <row r="76" spans="1:22" x14ac:dyDescent="0.35">
      <c r="A76" t="s">
        <v>11</v>
      </c>
      <c r="B76" t="s">
        <v>16</v>
      </c>
      <c r="C76">
        <v>5</v>
      </c>
      <c r="D76">
        <v>0</v>
      </c>
      <c r="E76">
        <v>1</v>
      </c>
      <c r="F76">
        <v>5</v>
      </c>
      <c r="G76">
        <v>1</v>
      </c>
      <c r="L76" t="s">
        <v>26</v>
      </c>
      <c r="M76">
        <f>G79/(G79+J79)</f>
        <v>0.86956521739130432</v>
      </c>
      <c r="O76" t="s">
        <v>28</v>
      </c>
      <c r="P76">
        <f>NORMSINV(M76)-NORMSINV(M77)</f>
        <v>1.9892325902539216</v>
      </c>
      <c r="R76" t="s">
        <v>29</v>
      </c>
      <c r="S76">
        <f>AVERAGE(E2:E78,1,C2:C78)</f>
        <v>2.8964874551971325</v>
      </c>
      <c r="U76" t="s">
        <v>31</v>
      </c>
      <c r="V76">
        <f>S76-S77</f>
        <v>6.4516129032257119E-3</v>
      </c>
    </row>
    <row r="77" spans="1:22" x14ac:dyDescent="0.35">
      <c r="A77" t="s">
        <v>11</v>
      </c>
      <c r="B77" t="s">
        <v>17</v>
      </c>
      <c r="C77">
        <v>5</v>
      </c>
      <c r="D77">
        <v>-2</v>
      </c>
      <c r="E77">
        <v>1</v>
      </c>
      <c r="F77">
        <v>5</v>
      </c>
      <c r="H77">
        <v>1</v>
      </c>
      <c r="L77" t="s">
        <v>27</v>
      </c>
      <c r="M77">
        <f>I79/(I79+H79)</f>
        <v>0.19354838709677419</v>
      </c>
      <c r="R77" t="s">
        <v>30</v>
      </c>
      <c r="S77">
        <f>AVERAGE(E2:E78,0,C2:C78)</f>
        <v>2.8900358422939068</v>
      </c>
      <c r="U77" t="s">
        <v>32</v>
      </c>
      <c r="V77">
        <f>V76/P76</f>
        <v>3.2432672452858699E-3</v>
      </c>
    </row>
    <row r="78" spans="1:22" x14ac:dyDescent="0.35">
      <c r="A78" t="s">
        <v>11</v>
      </c>
      <c r="B78" t="s">
        <v>16</v>
      </c>
      <c r="C78">
        <v>5</v>
      </c>
      <c r="D78">
        <v>0</v>
      </c>
      <c r="E78">
        <v>1</v>
      </c>
      <c r="F78">
        <v>5</v>
      </c>
      <c r="G78">
        <v>1</v>
      </c>
    </row>
    <row r="79" spans="1:22" x14ac:dyDescent="0.35">
      <c r="F79" t="s">
        <v>25</v>
      </c>
      <c r="G79">
        <f>SUM(G2:G78)</f>
        <v>40</v>
      </c>
      <c r="H79">
        <f t="shared" ref="H79:J79" si="0">SUM(H2:H78)</f>
        <v>25</v>
      </c>
      <c r="I79">
        <f t="shared" si="0"/>
        <v>6</v>
      </c>
      <c r="J79">
        <f t="shared" si="0"/>
        <v>6</v>
      </c>
    </row>
    <row r="80" spans="1:22" x14ac:dyDescent="0.35">
      <c r="A80" t="s">
        <v>3</v>
      </c>
      <c r="B80" t="s">
        <v>16</v>
      </c>
      <c r="C80">
        <v>4.0185185185185102</v>
      </c>
      <c r="D80">
        <v>0</v>
      </c>
      <c r="E80">
        <v>1</v>
      </c>
      <c r="F80">
        <v>4.0185185185185102</v>
      </c>
      <c r="G80">
        <v>1</v>
      </c>
    </row>
    <row r="81" spans="1:10" x14ac:dyDescent="0.35">
      <c r="A81" t="s">
        <v>3</v>
      </c>
      <c r="B81" t="s">
        <v>16</v>
      </c>
      <c r="C81">
        <v>4.0148148148148097</v>
      </c>
      <c r="D81">
        <v>-3</v>
      </c>
      <c r="E81">
        <v>0</v>
      </c>
      <c r="F81">
        <v>4.0148148148148097</v>
      </c>
      <c r="I81">
        <v>1</v>
      </c>
    </row>
    <row r="82" spans="1:10" x14ac:dyDescent="0.35">
      <c r="A82" t="s">
        <v>3</v>
      </c>
      <c r="B82" t="s">
        <v>17</v>
      </c>
      <c r="C82">
        <v>4.0111111111111102</v>
      </c>
      <c r="D82">
        <v>-3</v>
      </c>
      <c r="E82">
        <v>1</v>
      </c>
      <c r="F82">
        <v>4.0111111111111102</v>
      </c>
      <c r="H82">
        <v>1</v>
      </c>
    </row>
    <row r="83" spans="1:10" x14ac:dyDescent="0.35">
      <c r="A83" t="s">
        <v>3</v>
      </c>
      <c r="B83" t="s">
        <v>16</v>
      </c>
      <c r="C83">
        <v>4.0370370370370301</v>
      </c>
      <c r="D83">
        <v>-1</v>
      </c>
      <c r="E83">
        <v>0</v>
      </c>
      <c r="F83">
        <v>4.0370370370370301</v>
      </c>
      <c r="I83">
        <v>1</v>
      </c>
    </row>
    <row r="84" spans="1:10" x14ac:dyDescent="0.35">
      <c r="A84" t="s">
        <v>3</v>
      </c>
      <c r="B84" t="s">
        <v>16</v>
      </c>
      <c r="C84">
        <v>4.0148148148148097</v>
      </c>
      <c r="D84">
        <v>0</v>
      </c>
      <c r="E84">
        <v>1</v>
      </c>
      <c r="F84">
        <v>4.0148148148148097</v>
      </c>
      <c r="G84">
        <v>1</v>
      </c>
    </row>
    <row r="85" spans="1:10" x14ac:dyDescent="0.35">
      <c r="A85" t="s">
        <v>3</v>
      </c>
      <c r="B85" t="s">
        <v>17</v>
      </c>
      <c r="C85">
        <v>4</v>
      </c>
      <c r="D85">
        <v>0</v>
      </c>
      <c r="E85">
        <v>0</v>
      </c>
      <c r="F85">
        <v>4</v>
      </c>
      <c r="J85">
        <v>1</v>
      </c>
    </row>
    <row r="86" spans="1:10" x14ac:dyDescent="0.35">
      <c r="A86" t="s">
        <v>3</v>
      </c>
      <c r="B86" t="s">
        <v>17</v>
      </c>
      <c r="C86">
        <v>2.0037037037037</v>
      </c>
      <c r="D86">
        <v>0</v>
      </c>
      <c r="E86">
        <v>0</v>
      </c>
      <c r="F86">
        <v>2.0037037037037</v>
      </c>
      <c r="J86">
        <v>1</v>
      </c>
    </row>
    <row r="87" spans="1:10" x14ac:dyDescent="0.35">
      <c r="A87" t="s">
        <v>3</v>
      </c>
      <c r="B87" t="s">
        <v>17</v>
      </c>
      <c r="C87">
        <v>2.9740740740740699</v>
      </c>
      <c r="D87">
        <v>8</v>
      </c>
      <c r="E87">
        <v>1</v>
      </c>
      <c r="F87">
        <v>2.9740740740740699</v>
      </c>
      <c r="H87">
        <v>1</v>
      </c>
    </row>
    <row r="88" spans="1:10" x14ac:dyDescent="0.35">
      <c r="A88" t="s">
        <v>3</v>
      </c>
      <c r="B88" t="s">
        <v>17</v>
      </c>
      <c r="C88">
        <v>3.9814814814814801</v>
      </c>
      <c r="D88">
        <v>9</v>
      </c>
      <c r="E88">
        <v>1</v>
      </c>
      <c r="F88">
        <v>3.9814814814814801</v>
      </c>
      <c r="H88">
        <v>1</v>
      </c>
    </row>
    <row r="89" spans="1:10" x14ac:dyDescent="0.35">
      <c r="A89" t="s">
        <v>3</v>
      </c>
      <c r="B89" t="s">
        <v>17</v>
      </c>
      <c r="C89">
        <v>2</v>
      </c>
      <c r="D89">
        <v>0</v>
      </c>
      <c r="E89">
        <v>0</v>
      </c>
      <c r="F89">
        <v>2</v>
      </c>
      <c r="J89">
        <v>1</v>
      </c>
    </row>
    <row r="90" spans="1:10" x14ac:dyDescent="0.35">
      <c r="A90" t="s">
        <v>3</v>
      </c>
      <c r="B90" t="s">
        <v>17</v>
      </c>
      <c r="C90">
        <v>3.9777777777777699</v>
      </c>
      <c r="D90">
        <v>0</v>
      </c>
      <c r="E90">
        <v>1</v>
      </c>
      <c r="F90">
        <v>3.9777777777777699</v>
      </c>
      <c r="G90">
        <v>1</v>
      </c>
    </row>
    <row r="91" spans="1:10" x14ac:dyDescent="0.35">
      <c r="A91" t="s">
        <v>7</v>
      </c>
      <c r="B91" t="s">
        <v>17</v>
      </c>
      <c r="C91">
        <v>4</v>
      </c>
      <c r="D91">
        <v>-8</v>
      </c>
      <c r="E91">
        <v>1</v>
      </c>
      <c r="F91">
        <v>4</v>
      </c>
      <c r="H91">
        <v>1</v>
      </c>
    </row>
    <row r="92" spans="1:10" x14ac:dyDescent="0.35">
      <c r="A92" t="s">
        <v>7</v>
      </c>
      <c r="B92" t="s">
        <v>17</v>
      </c>
      <c r="C92">
        <v>3.0111111111111102</v>
      </c>
      <c r="D92">
        <v>0</v>
      </c>
      <c r="E92">
        <v>0</v>
      </c>
      <c r="F92">
        <v>3.0111111111111102</v>
      </c>
      <c r="J92">
        <v>1</v>
      </c>
    </row>
    <row r="93" spans="1:10" x14ac:dyDescent="0.35">
      <c r="A93" t="s">
        <v>7</v>
      </c>
      <c r="B93" t="s">
        <v>17</v>
      </c>
      <c r="C93">
        <v>4.0037037037037004</v>
      </c>
      <c r="D93">
        <v>0</v>
      </c>
      <c r="E93">
        <v>0</v>
      </c>
      <c r="F93">
        <v>4.0037037037037004</v>
      </c>
      <c r="J93">
        <v>1</v>
      </c>
    </row>
    <row r="94" spans="1:10" x14ac:dyDescent="0.35">
      <c r="A94" t="s">
        <v>7</v>
      </c>
      <c r="B94" t="s">
        <v>17</v>
      </c>
      <c r="C94">
        <v>4.0037037037037004</v>
      </c>
      <c r="D94">
        <v>-10</v>
      </c>
      <c r="E94">
        <v>1</v>
      </c>
      <c r="F94">
        <v>4.0037037037037004</v>
      </c>
      <c r="H94">
        <v>1</v>
      </c>
    </row>
    <row r="95" spans="1:10" x14ac:dyDescent="0.35">
      <c r="A95" t="s">
        <v>7</v>
      </c>
      <c r="B95" t="s">
        <v>16</v>
      </c>
      <c r="C95">
        <v>3.9925925925925898</v>
      </c>
      <c r="D95">
        <v>0</v>
      </c>
      <c r="E95">
        <v>1</v>
      </c>
      <c r="F95">
        <v>3.9925925925925898</v>
      </c>
      <c r="G95">
        <v>1</v>
      </c>
    </row>
    <row r="96" spans="1:10" x14ac:dyDescent="0.35">
      <c r="A96" t="s">
        <v>7</v>
      </c>
      <c r="B96" t="s">
        <v>17</v>
      </c>
      <c r="C96">
        <v>4.0037037037037004</v>
      </c>
      <c r="D96">
        <v>6</v>
      </c>
      <c r="E96">
        <v>1</v>
      </c>
      <c r="F96">
        <v>4.0037037037037004</v>
      </c>
      <c r="H96">
        <v>1</v>
      </c>
    </row>
    <row r="97" spans="1:10" x14ac:dyDescent="0.35">
      <c r="A97" t="s">
        <v>7</v>
      </c>
      <c r="B97" t="s">
        <v>16</v>
      </c>
      <c r="C97">
        <v>4.0037037037037004</v>
      </c>
      <c r="D97">
        <v>0</v>
      </c>
      <c r="E97">
        <v>1</v>
      </c>
      <c r="F97">
        <v>4.0037037037037004</v>
      </c>
      <c r="G97">
        <v>1</v>
      </c>
    </row>
    <row r="98" spans="1:10" x14ac:dyDescent="0.35">
      <c r="A98" t="s">
        <v>7</v>
      </c>
      <c r="B98" t="s">
        <v>17</v>
      </c>
      <c r="C98">
        <v>4.0148148148148097</v>
      </c>
      <c r="D98">
        <v>-2</v>
      </c>
      <c r="E98">
        <v>1</v>
      </c>
      <c r="F98">
        <v>4.0148148148148097</v>
      </c>
      <c r="H98">
        <v>1</v>
      </c>
    </row>
    <row r="99" spans="1:10" x14ac:dyDescent="0.35">
      <c r="A99" t="s">
        <v>7</v>
      </c>
      <c r="B99" t="s">
        <v>16</v>
      </c>
      <c r="C99">
        <v>3.9925925925925898</v>
      </c>
      <c r="D99">
        <v>0</v>
      </c>
      <c r="E99">
        <v>1</v>
      </c>
      <c r="F99">
        <v>3.9925925925925898</v>
      </c>
      <c r="G99">
        <v>1</v>
      </c>
    </row>
    <row r="100" spans="1:10" x14ac:dyDescent="0.35">
      <c r="A100" t="s">
        <v>7</v>
      </c>
      <c r="B100" t="s">
        <v>17</v>
      </c>
      <c r="C100">
        <v>4.0037037037037004</v>
      </c>
      <c r="D100">
        <v>2</v>
      </c>
      <c r="E100">
        <v>1</v>
      </c>
      <c r="F100">
        <v>4.0037037037037004</v>
      </c>
      <c r="H100">
        <v>1</v>
      </c>
    </row>
    <row r="101" spans="1:10" x14ac:dyDescent="0.35">
      <c r="A101" t="s">
        <v>7</v>
      </c>
      <c r="B101" t="s">
        <v>17</v>
      </c>
      <c r="C101">
        <v>2.9962962962962898</v>
      </c>
      <c r="D101">
        <v>-8</v>
      </c>
      <c r="E101">
        <v>1</v>
      </c>
      <c r="F101">
        <v>2.9962962962962898</v>
      </c>
      <c r="H101">
        <v>1</v>
      </c>
    </row>
    <row r="102" spans="1:10" x14ac:dyDescent="0.35">
      <c r="A102" t="s">
        <v>6</v>
      </c>
      <c r="B102" t="s">
        <v>16</v>
      </c>
      <c r="C102">
        <v>4.0074074074074</v>
      </c>
      <c r="D102">
        <v>0</v>
      </c>
      <c r="E102">
        <v>1</v>
      </c>
      <c r="F102">
        <v>4.0074074074074</v>
      </c>
      <c r="G102">
        <v>1</v>
      </c>
    </row>
    <row r="103" spans="1:10" x14ac:dyDescent="0.35">
      <c r="A103" t="s">
        <v>6</v>
      </c>
      <c r="B103" t="s">
        <v>16</v>
      </c>
      <c r="C103">
        <v>2.9851851851851801</v>
      </c>
      <c r="D103">
        <v>0</v>
      </c>
      <c r="E103">
        <v>1</v>
      </c>
      <c r="F103">
        <v>2.9851851851851801</v>
      </c>
      <c r="H103">
        <v>1</v>
      </c>
    </row>
    <row r="104" spans="1:10" x14ac:dyDescent="0.35">
      <c r="A104" t="s">
        <v>6</v>
      </c>
      <c r="B104" t="s">
        <v>17</v>
      </c>
      <c r="C104">
        <v>2.98888888888888</v>
      </c>
      <c r="D104">
        <v>-7</v>
      </c>
      <c r="E104">
        <v>1</v>
      </c>
      <c r="F104">
        <v>2.98888888888888</v>
      </c>
      <c r="H104">
        <v>1</v>
      </c>
    </row>
    <row r="105" spans="1:10" x14ac:dyDescent="0.35">
      <c r="A105" t="s">
        <v>6</v>
      </c>
      <c r="B105" t="s">
        <v>17</v>
      </c>
      <c r="C105">
        <v>5</v>
      </c>
      <c r="D105">
        <v>-8</v>
      </c>
      <c r="E105">
        <v>1</v>
      </c>
      <c r="F105">
        <v>5</v>
      </c>
      <c r="H105">
        <v>1</v>
      </c>
    </row>
    <row r="106" spans="1:10" x14ac:dyDescent="0.35">
      <c r="A106" t="s">
        <v>6</v>
      </c>
      <c r="B106" t="s">
        <v>16</v>
      </c>
      <c r="C106">
        <v>3.9925925925925898</v>
      </c>
      <c r="D106">
        <v>0</v>
      </c>
      <c r="E106">
        <v>1</v>
      </c>
      <c r="F106">
        <v>3.9925925925925898</v>
      </c>
      <c r="G106">
        <v>1</v>
      </c>
    </row>
    <row r="107" spans="1:10" x14ac:dyDescent="0.35">
      <c r="A107" t="s">
        <v>6</v>
      </c>
      <c r="B107" t="s">
        <v>17</v>
      </c>
      <c r="C107">
        <v>3.9740740740740699</v>
      </c>
      <c r="D107">
        <v>5</v>
      </c>
      <c r="E107">
        <v>1</v>
      </c>
      <c r="F107">
        <v>3.9740740740740699</v>
      </c>
      <c r="H107">
        <v>1</v>
      </c>
    </row>
    <row r="108" spans="1:10" x14ac:dyDescent="0.35">
      <c r="A108" t="s">
        <v>6</v>
      </c>
      <c r="B108" t="s">
        <v>17</v>
      </c>
      <c r="C108">
        <v>3.98888888888888</v>
      </c>
      <c r="D108">
        <v>7</v>
      </c>
      <c r="E108">
        <v>1</v>
      </c>
      <c r="F108">
        <v>3.98888888888888</v>
      </c>
      <c r="H108">
        <v>1</v>
      </c>
    </row>
    <row r="109" spans="1:10" x14ac:dyDescent="0.35">
      <c r="A109" t="s">
        <v>6</v>
      </c>
      <c r="B109" t="s">
        <v>17</v>
      </c>
      <c r="C109">
        <v>4.0074074074074</v>
      </c>
      <c r="D109">
        <v>0</v>
      </c>
      <c r="E109">
        <v>0</v>
      </c>
      <c r="F109">
        <v>4.0074074074074</v>
      </c>
      <c r="J109">
        <v>1</v>
      </c>
    </row>
    <row r="110" spans="1:10" x14ac:dyDescent="0.35">
      <c r="A110" t="s">
        <v>6</v>
      </c>
      <c r="B110" t="s">
        <v>17</v>
      </c>
      <c r="C110">
        <v>4.0111111111111102</v>
      </c>
      <c r="D110">
        <v>0</v>
      </c>
      <c r="E110">
        <v>0</v>
      </c>
      <c r="F110">
        <v>4.0111111111111102</v>
      </c>
      <c r="J110">
        <v>1</v>
      </c>
    </row>
    <row r="111" spans="1:10" x14ac:dyDescent="0.35">
      <c r="A111" t="s">
        <v>6</v>
      </c>
      <c r="B111" t="s">
        <v>17</v>
      </c>
      <c r="C111">
        <v>4.0074074074074</v>
      </c>
      <c r="D111">
        <v>0</v>
      </c>
      <c r="E111">
        <v>0</v>
      </c>
      <c r="F111">
        <v>4.0074074074074</v>
      </c>
      <c r="J111">
        <v>1</v>
      </c>
    </row>
    <row r="112" spans="1:10" x14ac:dyDescent="0.35">
      <c r="A112" t="s">
        <v>6</v>
      </c>
      <c r="B112" t="s">
        <v>17</v>
      </c>
      <c r="C112">
        <v>4.0148148148148097</v>
      </c>
      <c r="D112">
        <v>-2</v>
      </c>
      <c r="E112">
        <v>1</v>
      </c>
      <c r="F112">
        <v>4.0148148148148097</v>
      </c>
      <c r="H112">
        <v>1</v>
      </c>
    </row>
    <row r="113" spans="1:10" x14ac:dyDescent="0.35">
      <c r="A113" t="s">
        <v>13</v>
      </c>
      <c r="B113" t="s">
        <v>16</v>
      </c>
      <c r="C113">
        <v>3.0037037037037</v>
      </c>
      <c r="D113">
        <v>0</v>
      </c>
      <c r="E113">
        <v>1</v>
      </c>
      <c r="F113">
        <v>3.0037037037037</v>
      </c>
      <c r="G113">
        <v>1</v>
      </c>
    </row>
    <row r="114" spans="1:10" x14ac:dyDescent="0.35">
      <c r="A114" t="s">
        <v>13</v>
      </c>
      <c r="B114" t="s">
        <v>17</v>
      </c>
      <c r="C114">
        <v>3.9703703703703699</v>
      </c>
      <c r="D114">
        <v>-10</v>
      </c>
      <c r="E114">
        <v>1</v>
      </c>
      <c r="F114">
        <v>3.9703703703703699</v>
      </c>
      <c r="H114">
        <v>1</v>
      </c>
    </row>
    <row r="115" spans="1:10" x14ac:dyDescent="0.35">
      <c r="A115" t="s">
        <v>13</v>
      </c>
      <c r="B115" t="s">
        <v>16</v>
      </c>
      <c r="C115">
        <v>2.9777777777777699</v>
      </c>
      <c r="D115">
        <v>0</v>
      </c>
      <c r="E115">
        <v>1</v>
      </c>
      <c r="F115">
        <v>2.9777777777777699</v>
      </c>
      <c r="G115">
        <v>1</v>
      </c>
    </row>
    <row r="116" spans="1:10" x14ac:dyDescent="0.35">
      <c r="A116" t="s">
        <v>13</v>
      </c>
      <c r="B116" t="s">
        <v>17</v>
      </c>
      <c r="C116">
        <v>4.0111111111111102</v>
      </c>
      <c r="D116">
        <v>7</v>
      </c>
      <c r="E116">
        <v>1</v>
      </c>
      <c r="F116">
        <v>4.0111111111111102</v>
      </c>
      <c r="H116">
        <v>1</v>
      </c>
    </row>
    <row r="117" spans="1:10" x14ac:dyDescent="0.35">
      <c r="A117" t="s">
        <v>13</v>
      </c>
      <c r="B117" t="s">
        <v>17</v>
      </c>
      <c r="C117">
        <v>2.9481481481481402</v>
      </c>
      <c r="D117">
        <v>-2</v>
      </c>
      <c r="E117">
        <v>1</v>
      </c>
      <c r="F117">
        <v>2.9481481481481402</v>
      </c>
      <c r="H117">
        <v>1</v>
      </c>
    </row>
    <row r="118" spans="1:10" x14ac:dyDescent="0.35">
      <c r="A118" t="s">
        <v>13</v>
      </c>
      <c r="B118" t="s">
        <v>16</v>
      </c>
      <c r="C118">
        <v>3.0111111111111102</v>
      </c>
      <c r="D118">
        <v>0</v>
      </c>
      <c r="E118">
        <v>1</v>
      </c>
      <c r="F118">
        <v>3.0111111111111102</v>
      </c>
      <c r="G118">
        <v>1</v>
      </c>
    </row>
    <row r="119" spans="1:10" x14ac:dyDescent="0.35">
      <c r="A119" t="s">
        <v>13</v>
      </c>
      <c r="B119" t="s">
        <v>17</v>
      </c>
      <c r="C119">
        <v>4.9629629629629601</v>
      </c>
      <c r="D119">
        <v>9</v>
      </c>
      <c r="E119">
        <v>1</v>
      </c>
      <c r="F119">
        <v>4.9629629629629601</v>
      </c>
      <c r="H119">
        <v>1</v>
      </c>
    </row>
    <row r="120" spans="1:10" x14ac:dyDescent="0.35">
      <c r="A120" t="s">
        <v>13</v>
      </c>
      <c r="B120" t="s">
        <v>16</v>
      </c>
      <c r="C120">
        <v>4.1925925925925904</v>
      </c>
      <c r="D120">
        <v>-1</v>
      </c>
      <c r="E120">
        <v>0</v>
      </c>
      <c r="F120">
        <v>4.1925925925925904</v>
      </c>
      <c r="I120">
        <v>1</v>
      </c>
    </row>
    <row r="121" spans="1:10" x14ac:dyDescent="0.35">
      <c r="A121" t="s">
        <v>13</v>
      </c>
      <c r="B121" t="s">
        <v>17</v>
      </c>
      <c r="C121">
        <v>4.0074074074074</v>
      </c>
      <c r="D121">
        <v>5</v>
      </c>
      <c r="E121">
        <v>1</v>
      </c>
      <c r="F121">
        <v>4.0074074074074</v>
      </c>
      <c r="H121">
        <v>1</v>
      </c>
    </row>
    <row r="122" spans="1:10" x14ac:dyDescent="0.35">
      <c r="A122" t="s">
        <v>13</v>
      </c>
      <c r="B122" t="s">
        <v>17</v>
      </c>
      <c r="C122">
        <v>4</v>
      </c>
      <c r="D122">
        <v>2</v>
      </c>
      <c r="E122">
        <v>1</v>
      </c>
      <c r="F122">
        <v>4</v>
      </c>
      <c r="H122">
        <v>1</v>
      </c>
    </row>
    <row r="123" spans="1:10" x14ac:dyDescent="0.35">
      <c r="A123" t="s">
        <v>13</v>
      </c>
      <c r="B123" t="s">
        <v>16</v>
      </c>
      <c r="C123">
        <v>3.98888888888888</v>
      </c>
      <c r="D123">
        <v>0</v>
      </c>
      <c r="E123">
        <v>1</v>
      </c>
      <c r="F123">
        <v>3.98888888888888</v>
      </c>
      <c r="G123">
        <v>1</v>
      </c>
    </row>
    <row r="124" spans="1:10" x14ac:dyDescent="0.35">
      <c r="A124" t="s">
        <v>12</v>
      </c>
      <c r="B124" t="s">
        <v>17</v>
      </c>
      <c r="C124">
        <v>5</v>
      </c>
      <c r="D124">
        <v>-9</v>
      </c>
      <c r="E124">
        <v>1</v>
      </c>
      <c r="F124">
        <v>5</v>
      </c>
      <c r="H124">
        <v>1</v>
      </c>
    </row>
    <row r="125" spans="1:10" x14ac:dyDescent="0.35">
      <c r="A125" t="s">
        <v>12</v>
      </c>
      <c r="B125" t="s">
        <v>17</v>
      </c>
      <c r="C125">
        <v>4.7185185185185103</v>
      </c>
      <c r="D125">
        <v>-9</v>
      </c>
      <c r="E125">
        <v>1</v>
      </c>
      <c r="F125">
        <v>4.7185185185185103</v>
      </c>
      <c r="H125">
        <v>1</v>
      </c>
    </row>
    <row r="126" spans="1:10" x14ac:dyDescent="0.35">
      <c r="A126" t="s">
        <v>12</v>
      </c>
      <c r="B126" t="s">
        <v>17</v>
      </c>
      <c r="C126">
        <v>4.0037037037037004</v>
      </c>
      <c r="D126">
        <v>0</v>
      </c>
      <c r="E126">
        <v>0</v>
      </c>
      <c r="F126">
        <v>4.0037037037037004</v>
      </c>
      <c r="J126">
        <v>1</v>
      </c>
    </row>
    <row r="127" spans="1:10" x14ac:dyDescent="0.35">
      <c r="A127" t="s">
        <v>12</v>
      </c>
      <c r="B127" t="s">
        <v>17</v>
      </c>
      <c r="C127">
        <v>3.9925925925925898</v>
      </c>
      <c r="D127">
        <v>0</v>
      </c>
      <c r="E127">
        <v>0</v>
      </c>
      <c r="F127">
        <v>3.9925925925925898</v>
      </c>
      <c r="J127">
        <v>1</v>
      </c>
    </row>
    <row r="128" spans="1:10" x14ac:dyDescent="0.35">
      <c r="A128" t="s">
        <v>12</v>
      </c>
      <c r="B128" t="s">
        <v>16</v>
      </c>
      <c r="C128">
        <v>3.9925925925925898</v>
      </c>
      <c r="D128">
        <v>0</v>
      </c>
      <c r="E128">
        <v>1</v>
      </c>
      <c r="F128">
        <v>3.9925925925925898</v>
      </c>
      <c r="G128">
        <v>1</v>
      </c>
    </row>
    <row r="129" spans="1:10" x14ac:dyDescent="0.35">
      <c r="A129" t="s">
        <v>12</v>
      </c>
      <c r="B129" t="s">
        <v>16</v>
      </c>
      <c r="C129">
        <v>3.0148148148148102</v>
      </c>
      <c r="D129">
        <v>0</v>
      </c>
      <c r="E129">
        <v>1</v>
      </c>
      <c r="F129">
        <v>3.0148148148148102</v>
      </c>
      <c r="G129">
        <v>1</v>
      </c>
    </row>
    <row r="130" spans="1:10" x14ac:dyDescent="0.35">
      <c r="A130" t="s">
        <v>12</v>
      </c>
      <c r="B130" t="s">
        <v>16</v>
      </c>
      <c r="C130">
        <v>3.9851851851851801</v>
      </c>
      <c r="D130">
        <v>0</v>
      </c>
      <c r="E130">
        <v>1</v>
      </c>
      <c r="F130">
        <v>3.9851851851851801</v>
      </c>
      <c r="G130">
        <v>1</v>
      </c>
    </row>
    <row r="131" spans="1:10" x14ac:dyDescent="0.35">
      <c r="A131" t="s">
        <v>12</v>
      </c>
      <c r="B131" t="s">
        <v>17</v>
      </c>
      <c r="C131">
        <v>3.9851851851851801</v>
      </c>
      <c r="D131">
        <v>6</v>
      </c>
      <c r="E131">
        <v>1</v>
      </c>
      <c r="F131">
        <v>3.9851851851851801</v>
      </c>
      <c r="H131">
        <v>1</v>
      </c>
    </row>
    <row r="132" spans="1:10" x14ac:dyDescent="0.35">
      <c r="A132" t="s">
        <v>12</v>
      </c>
      <c r="B132" t="s">
        <v>17</v>
      </c>
      <c r="C132">
        <v>4</v>
      </c>
      <c r="D132">
        <v>8</v>
      </c>
      <c r="E132">
        <v>1</v>
      </c>
      <c r="F132">
        <v>4</v>
      </c>
      <c r="H132">
        <v>1</v>
      </c>
    </row>
    <row r="133" spans="1:10" x14ac:dyDescent="0.35">
      <c r="A133" t="s">
        <v>12</v>
      </c>
      <c r="B133" t="s">
        <v>17</v>
      </c>
      <c r="C133">
        <v>2.9666666666666601</v>
      </c>
      <c r="D133">
        <v>0</v>
      </c>
      <c r="E133">
        <v>0</v>
      </c>
      <c r="F133">
        <v>2.9666666666666601</v>
      </c>
      <c r="J133">
        <v>1</v>
      </c>
    </row>
    <row r="134" spans="1:10" x14ac:dyDescent="0.35">
      <c r="A134" t="s">
        <v>12</v>
      </c>
      <c r="B134" t="s">
        <v>17</v>
      </c>
      <c r="C134">
        <v>3.9962962962962898</v>
      </c>
      <c r="D134">
        <v>-4</v>
      </c>
      <c r="E134">
        <v>1</v>
      </c>
      <c r="F134">
        <v>3.9962962962962898</v>
      </c>
      <c r="H134">
        <v>1</v>
      </c>
    </row>
    <row r="135" spans="1:10" x14ac:dyDescent="0.35">
      <c r="A135" t="s">
        <v>8</v>
      </c>
      <c r="B135" t="s">
        <v>16</v>
      </c>
      <c r="C135">
        <v>4</v>
      </c>
      <c r="D135">
        <v>0</v>
      </c>
      <c r="E135">
        <v>1</v>
      </c>
      <c r="F135">
        <v>4</v>
      </c>
      <c r="G135">
        <v>1</v>
      </c>
    </row>
    <row r="136" spans="1:10" x14ac:dyDescent="0.35">
      <c r="A136" t="s">
        <v>8</v>
      </c>
      <c r="B136" t="s">
        <v>17</v>
      </c>
      <c r="C136">
        <v>4</v>
      </c>
      <c r="D136">
        <v>0</v>
      </c>
      <c r="E136">
        <v>0</v>
      </c>
      <c r="F136">
        <v>4</v>
      </c>
      <c r="J136">
        <v>1</v>
      </c>
    </row>
    <row r="137" spans="1:10" x14ac:dyDescent="0.35">
      <c r="A137" t="s">
        <v>8</v>
      </c>
      <c r="B137" t="s">
        <v>16</v>
      </c>
      <c r="C137">
        <v>1</v>
      </c>
      <c r="D137">
        <v>0</v>
      </c>
      <c r="E137">
        <v>1</v>
      </c>
      <c r="F137">
        <v>1</v>
      </c>
      <c r="G137">
        <v>1</v>
      </c>
    </row>
    <row r="138" spans="1:10" x14ac:dyDescent="0.35">
      <c r="A138" t="s">
        <v>8</v>
      </c>
      <c r="B138" t="s">
        <v>17</v>
      </c>
      <c r="C138">
        <v>3.9925925925925898</v>
      </c>
      <c r="D138">
        <v>9</v>
      </c>
      <c r="E138">
        <v>1</v>
      </c>
      <c r="F138">
        <v>3.9925925925925898</v>
      </c>
      <c r="H138">
        <v>1</v>
      </c>
    </row>
    <row r="139" spans="1:10" x14ac:dyDescent="0.35">
      <c r="A139" t="s">
        <v>8</v>
      </c>
      <c r="B139" t="s">
        <v>17</v>
      </c>
      <c r="C139">
        <v>3.9925925925925898</v>
      </c>
      <c r="D139">
        <v>-9</v>
      </c>
      <c r="E139">
        <v>1</v>
      </c>
      <c r="F139">
        <v>3.9925925925925898</v>
      </c>
      <c r="H139">
        <v>1</v>
      </c>
    </row>
    <row r="140" spans="1:10" x14ac:dyDescent="0.35">
      <c r="A140" t="s">
        <v>8</v>
      </c>
      <c r="B140" t="s">
        <v>16</v>
      </c>
      <c r="C140">
        <v>4.0111111111111102</v>
      </c>
      <c r="D140">
        <v>0</v>
      </c>
      <c r="E140">
        <v>1</v>
      </c>
      <c r="F140">
        <v>4.0111111111111102</v>
      </c>
      <c r="G140">
        <v>1</v>
      </c>
    </row>
    <row r="141" spans="1:10" x14ac:dyDescent="0.35">
      <c r="A141" t="s">
        <v>8</v>
      </c>
      <c r="B141" t="s">
        <v>17</v>
      </c>
      <c r="C141">
        <v>3</v>
      </c>
      <c r="D141">
        <v>7</v>
      </c>
      <c r="E141">
        <v>1</v>
      </c>
      <c r="F141">
        <v>3</v>
      </c>
      <c r="H141">
        <v>1</v>
      </c>
    </row>
    <row r="142" spans="1:10" x14ac:dyDescent="0.35">
      <c r="A142" t="s">
        <v>8</v>
      </c>
      <c r="B142" t="s">
        <v>17</v>
      </c>
      <c r="C142">
        <v>3.9962962962962898</v>
      </c>
      <c r="D142">
        <v>0</v>
      </c>
      <c r="E142">
        <v>0</v>
      </c>
      <c r="F142">
        <v>3.9962962962962898</v>
      </c>
      <c r="J142">
        <v>1</v>
      </c>
    </row>
    <row r="143" spans="1:10" x14ac:dyDescent="0.35">
      <c r="A143" t="s">
        <v>8</v>
      </c>
      <c r="B143" t="s">
        <v>16</v>
      </c>
      <c r="C143">
        <v>3.9925925925925898</v>
      </c>
      <c r="D143">
        <v>0</v>
      </c>
      <c r="E143">
        <v>1</v>
      </c>
      <c r="F143">
        <v>3.9925925925925898</v>
      </c>
      <c r="G143">
        <v>1</v>
      </c>
    </row>
    <row r="144" spans="1:10" x14ac:dyDescent="0.35">
      <c r="A144" t="s">
        <v>8</v>
      </c>
      <c r="B144" t="s">
        <v>16</v>
      </c>
      <c r="C144">
        <v>3.9962962962962898</v>
      </c>
      <c r="D144">
        <v>2</v>
      </c>
      <c r="E144">
        <v>0</v>
      </c>
      <c r="F144">
        <v>3.9962962962962898</v>
      </c>
      <c r="I144">
        <v>1</v>
      </c>
    </row>
    <row r="145" spans="1:10" x14ac:dyDescent="0.35">
      <c r="A145" t="s">
        <v>8</v>
      </c>
      <c r="B145" t="s">
        <v>17</v>
      </c>
      <c r="C145">
        <v>4.0037037037037004</v>
      </c>
      <c r="D145">
        <v>0</v>
      </c>
      <c r="E145">
        <v>0</v>
      </c>
      <c r="F145">
        <v>4.0037037037037004</v>
      </c>
      <c r="J145">
        <v>1</v>
      </c>
    </row>
    <row r="146" spans="1:10" x14ac:dyDescent="0.35">
      <c r="A146" t="s">
        <v>1</v>
      </c>
      <c r="B146" t="s">
        <v>16</v>
      </c>
      <c r="C146">
        <v>4.0407407407407403</v>
      </c>
      <c r="D146">
        <v>0</v>
      </c>
      <c r="E146">
        <v>1</v>
      </c>
      <c r="F146">
        <v>4.0407407407407403</v>
      </c>
      <c r="G146">
        <v>1</v>
      </c>
    </row>
    <row r="147" spans="1:10" x14ac:dyDescent="0.35">
      <c r="A147" t="s">
        <v>1</v>
      </c>
      <c r="B147" t="s">
        <v>17</v>
      </c>
      <c r="C147">
        <v>4</v>
      </c>
      <c r="D147">
        <v>5</v>
      </c>
      <c r="E147">
        <v>1</v>
      </c>
      <c r="F147">
        <v>4</v>
      </c>
      <c r="H147">
        <v>1</v>
      </c>
    </row>
    <row r="148" spans="1:10" x14ac:dyDescent="0.35">
      <c r="A148" t="s">
        <v>1</v>
      </c>
      <c r="B148" t="s">
        <v>16</v>
      </c>
      <c r="C148">
        <v>4.0074074074074</v>
      </c>
      <c r="D148">
        <v>-3</v>
      </c>
      <c r="E148">
        <v>0</v>
      </c>
      <c r="F148">
        <v>4.0074074074074</v>
      </c>
      <c r="I148">
        <v>1</v>
      </c>
    </row>
    <row r="149" spans="1:10" x14ac:dyDescent="0.35">
      <c r="A149" t="s">
        <v>1</v>
      </c>
      <c r="B149" t="s">
        <v>17</v>
      </c>
      <c r="C149">
        <v>3.9925925925925898</v>
      </c>
      <c r="D149">
        <v>-4</v>
      </c>
      <c r="E149">
        <v>1</v>
      </c>
      <c r="F149">
        <v>3.9925925925925898</v>
      </c>
      <c r="H149">
        <v>1</v>
      </c>
    </row>
    <row r="150" spans="1:10" x14ac:dyDescent="0.35">
      <c r="A150" t="s">
        <v>1</v>
      </c>
      <c r="B150" t="s">
        <v>17</v>
      </c>
      <c r="C150">
        <v>4.0037037037037004</v>
      </c>
      <c r="D150">
        <v>-7</v>
      </c>
      <c r="E150">
        <v>1</v>
      </c>
      <c r="F150">
        <v>4.0037037037037004</v>
      </c>
      <c r="H150">
        <v>1</v>
      </c>
    </row>
    <row r="151" spans="1:10" x14ac:dyDescent="0.35">
      <c r="A151" t="s">
        <v>1</v>
      </c>
      <c r="B151" t="s">
        <v>16</v>
      </c>
      <c r="C151">
        <v>3.9962962962962898</v>
      </c>
      <c r="D151">
        <v>0</v>
      </c>
      <c r="E151">
        <v>1</v>
      </c>
      <c r="F151">
        <v>3.9962962962962898</v>
      </c>
      <c r="G151">
        <v>1</v>
      </c>
    </row>
    <row r="152" spans="1:10" x14ac:dyDescent="0.35">
      <c r="A152" t="s">
        <v>1</v>
      </c>
      <c r="B152" t="s">
        <v>17</v>
      </c>
      <c r="C152">
        <v>3.9925925925925898</v>
      </c>
      <c r="D152">
        <v>-2</v>
      </c>
      <c r="E152">
        <v>1</v>
      </c>
      <c r="F152">
        <v>3.9925925925925898</v>
      </c>
      <c r="H152">
        <v>1</v>
      </c>
    </row>
    <row r="153" spans="1:10" x14ac:dyDescent="0.35">
      <c r="A153" t="s">
        <v>1</v>
      </c>
      <c r="B153" t="s">
        <v>16</v>
      </c>
      <c r="C153">
        <v>3.9851851851851801</v>
      </c>
      <c r="D153">
        <v>0</v>
      </c>
      <c r="E153">
        <v>1</v>
      </c>
      <c r="F153">
        <v>3.9851851851851801</v>
      </c>
      <c r="G153">
        <v>1</v>
      </c>
    </row>
    <row r="154" spans="1:10" x14ac:dyDescent="0.35">
      <c r="A154" t="s">
        <v>1</v>
      </c>
      <c r="B154" t="s">
        <v>17</v>
      </c>
      <c r="C154">
        <v>4.0111111111111102</v>
      </c>
      <c r="D154">
        <v>6</v>
      </c>
      <c r="E154">
        <v>1</v>
      </c>
      <c r="F154">
        <v>4.0111111111111102</v>
      </c>
      <c r="H154">
        <v>1</v>
      </c>
    </row>
    <row r="155" spans="1:10" x14ac:dyDescent="0.35">
      <c r="A155" t="s">
        <v>1</v>
      </c>
      <c r="B155" t="s">
        <v>16</v>
      </c>
      <c r="C155">
        <v>3.0074074074074</v>
      </c>
      <c r="D155">
        <v>0</v>
      </c>
      <c r="E155">
        <v>1</v>
      </c>
      <c r="F155">
        <v>3.0074074074074</v>
      </c>
      <c r="G155">
        <v>1</v>
      </c>
    </row>
    <row r="156" spans="1:10" x14ac:dyDescent="0.35">
      <c r="A156" t="s">
        <v>1</v>
      </c>
      <c r="B156" t="s">
        <v>17</v>
      </c>
      <c r="C156">
        <v>4.0037037037037004</v>
      </c>
      <c r="D156">
        <v>0</v>
      </c>
      <c r="E156">
        <v>0</v>
      </c>
      <c r="F156">
        <v>4.0037037037037004</v>
      </c>
      <c r="J156">
        <v>1</v>
      </c>
    </row>
    <row r="158" spans="1:10" x14ac:dyDescent="0.35">
      <c r="F158" t="s">
        <v>25</v>
      </c>
      <c r="G158">
        <f>SUM(G80:G156)</f>
        <v>23</v>
      </c>
      <c r="H158">
        <f t="shared" ref="H158:J158" si="1">SUM(H80:H156)</f>
        <v>34</v>
      </c>
      <c r="I158">
        <f t="shared" si="1"/>
        <v>5</v>
      </c>
      <c r="J158">
        <f t="shared" si="1"/>
        <v>15</v>
      </c>
    </row>
    <row r="160" spans="1:10" x14ac:dyDescent="0.35">
      <c r="F160" t="s">
        <v>34</v>
      </c>
      <c r="G160">
        <f>G158/(G158+J158)</f>
        <v>0.60526315789473684</v>
      </c>
    </row>
    <row r="161" spans="6:7" x14ac:dyDescent="0.35">
      <c r="F161" t="s">
        <v>27</v>
      </c>
      <c r="G161">
        <f>I158/(I158+H158)</f>
        <v>0.12820512820512819</v>
      </c>
    </row>
    <row r="163" spans="6:7" x14ac:dyDescent="0.35">
      <c r="F163" t="s">
        <v>28</v>
      </c>
      <c r="G163">
        <f>NORMSINV(G160)-NORMSINV(G161)</f>
        <v>1.4019107433984441</v>
      </c>
    </row>
    <row r="165" spans="6:7" x14ac:dyDescent="0.35">
      <c r="F165" t="s">
        <v>35</v>
      </c>
      <c r="G165">
        <f>AVERAGE(E80:E156,1,F80:F156)</f>
        <v>2.2567264038231771</v>
      </c>
    </row>
    <row r="166" spans="6:7" x14ac:dyDescent="0.35">
      <c r="F166" t="s">
        <v>33</v>
      </c>
      <c r="G166">
        <f>AVERAGE(E80:E156,0,F80:F156)</f>
        <v>2.250274790919951</v>
      </c>
    </row>
    <row r="168" spans="6:7" x14ac:dyDescent="0.35">
      <c r="F168" t="s">
        <v>36</v>
      </c>
      <c r="G168">
        <f>G165-G166</f>
        <v>6.451612903226156E-3</v>
      </c>
    </row>
    <row r="169" spans="6:7" x14ac:dyDescent="0.35">
      <c r="F169" t="s">
        <v>37</v>
      </c>
      <c r="G169">
        <f>G168/G163</f>
        <v>4.6020140252199431E-3</v>
      </c>
    </row>
  </sheetData>
  <autoFilter ref="A1:A157" xr:uid="{13D47877-8CAA-459B-AFC2-A3BF70B9A874}"/>
  <sortState xmlns:xlrd2="http://schemas.microsoft.com/office/spreadsheetml/2017/richdata2" ref="A1:J157">
    <sortCondition ref="A1:A15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6862-8FF3-4884-8BAE-AD1859A17331}">
  <dimension ref="A1:U168"/>
  <sheetViews>
    <sheetView topLeftCell="A166" workbookViewId="0">
      <selection activeCell="D176" sqref="D176"/>
    </sheetView>
  </sheetViews>
  <sheetFormatPr defaultRowHeight="14.5" x14ac:dyDescent="0.35"/>
  <cols>
    <col min="1" max="1" width="19.90625" customWidth="1"/>
    <col min="5" max="5" width="14.90625" customWidth="1"/>
  </cols>
  <sheetData>
    <row r="1" spans="1:9" x14ac:dyDescent="0.35">
      <c r="A1" t="s">
        <v>24</v>
      </c>
      <c r="B1" t="s">
        <v>14</v>
      </c>
      <c r="C1" t="s">
        <v>15</v>
      </c>
      <c r="D1" t="s">
        <v>23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 t="s">
        <v>4</v>
      </c>
      <c r="B2" t="s">
        <v>16</v>
      </c>
      <c r="C2">
        <v>1</v>
      </c>
      <c r="D2">
        <v>0</v>
      </c>
      <c r="E2">
        <v>5</v>
      </c>
      <c r="F2">
        <v>1</v>
      </c>
    </row>
    <row r="3" spans="1:9" x14ac:dyDescent="0.35">
      <c r="A3" t="s">
        <v>4</v>
      </c>
      <c r="B3" t="s">
        <v>16</v>
      </c>
      <c r="C3">
        <v>1</v>
      </c>
      <c r="D3">
        <v>0</v>
      </c>
      <c r="E3">
        <v>4.9777777777777699</v>
      </c>
      <c r="F3">
        <v>1</v>
      </c>
    </row>
    <row r="4" spans="1:9" x14ac:dyDescent="0.35">
      <c r="A4" t="s">
        <v>4</v>
      </c>
      <c r="B4" t="s">
        <v>16</v>
      </c>
      <c r="C4">
        <v>1</v>
      </c>
      <c r="D4">
        <v>0</v>
      </c>
      <c r="E4">
        <v>4.9814814814814801</v>
      </c>
      <c r="F4">
        <v>1</v>
      </c>
    </row>
    <row r="5" spans="1:9" x14ac:dyDescent="0.35">
      <c r="A5" t="s">
        <v>4</v>
      </c>
      <c r="B5" t="s">
        <v>17</v>
      </c>
      <c r="C5">
        <v>1</v>
      </c>
      <c r="D5">
        <v>-2</v>
      </c>
      <c r="E5">
        <v>1</v>
      </c>
      <c r="G5">
        <v>1</v>
      </c>
    </row>
    <row r="6" spans="1:9" x14ac:dyDescent="0.35">
      <c r="A6" t="s">
        <v>4</v>
      </c>
      <c r="B6" t="s">
        <v>17</v>
      </c>
      <c r="C6">
        <v>1</v>
      </c>
      <c r="D6">
        <v>-6</v>
      </c>
      <c r="E6">
        <v>5</v>
      </c>
      <c r="G6">
        <v>1</v>
      </c>
    </row>
    <row r="7" spans="1:9" x14ac:dyDescent="0.35">
      <c r="A7" t="s">
        <v>4</v>
      </c>
      <c r="B7" t="s">
        <v>17</v>
      </c>
      <c r="C7">
        <v>0</v>
      </c>
      <c r="D7">
        <v>0</v>
      </c>
      <c r="E7">
        <v>5</v>
      </c>
      <c r="I7">
        <v>1</v>
      </c>
    </row>
    <row r="8" spans="1:9" x14ac:dyDescent="0.35">
      <c r="A8" t="s">
        <v>4</v>
      </c>
      <c r="B8" t="s">
        <v>17</v>
      </c>
      <c r="C8">
        <v>0</v>
      </c>
      <c r="D8">
        <v>0</v>
      </c>
      <c r="E8">
        <v>5</v>
      </c>
      <c r="I8">
        <v>1</v>
      </c>
    </row>
    <row r="9" spans="1:9" x14ac:dyDescent="0.35">
      <c r="A9" t="s">
        <v>4</v>
      </c>
      <c r="B9" t="s">
        <v>17</v>
      </c>
      <c r="C9">
        <v>0</v>
      </c>
      <c r="D9">
        <v>0</v>
      </c>
      <c r="E9">
        <v>5</v>
      </c>
      <c r="I9">
        <v>1</v>
      </c>
    </row>
    <row r="10" spans="1:9" x14ac:dyDescent="0.35">
      <c r="A10" t="s">
        <v>4</v>
      </c>
      <c r="B10" t="s">
        <v>16</v>
      </c>
      <c r="C10">
        <v>1</v>
      </c>
      <c r="D10">
        <v>0</v>
      </c>
      <c r="E10">
        <v>5</v>
      </c>
      <c r="F10">
        <v>1</v>
      </c>
    </row>
    <row r="11" spans="1:9" x14ac:dyDescent="0.35">
      <c r="A11" t="s">
        <v>4</v>
      </c>
      <c r="B11" t="s">
        <v>16</v>
      </c>
      <c r="C11">
        <v>1</v>
      </c>
      <c r="D11">
        <v>0</v>
      </c>
      <c r="E11">
        <v>5</v>
      </c>
      <c r="F11">
        <v>1</v>
      </c>
    </row>
    <row r="12" spans="1:9" x14ac:dyDescent="0.35">
      <c r="A12" t="s">
        <v>4</v>
      </c>
      <c r="B12" t="s">
        <v>16</v>
      </c>
      <c r="C12">
        <v>0</v>
      </c>
      <c r="D12">
        <v>-1</v>
      </c>
      <c r="E12">
        <v>4.0037037037037004</v>
      </c>
      <c r="H12">
        <v>1</v>
      </c>
    </row>
    <row r="13" spans="1:9" x14ac:dyDescent="0.35">
      <c r="A13" t="s">
        <v>0</v>
      </c>
      <c r="B13" t="s">
        <v>16</v>
      </c>
      <c r="C13">
        <v>0</v>
      </c>
      <c r="D13">
        <v>2</v>
      </c>
      <c r="E13">
        <v>5</v>
      </c>
      <c r="H13">
        <v>1</v>
      </c>
    </row>
    <row r="14" spans="1:9" x14ac:dyDescent="0.35">
      <c r="A14" t="s">
        <v>0</v>
      </c>
      <c r="B14" t="s">
        <v>16</v>
      </c>
      <c r="C14">
        <v>0</v>
      </c>
      <c r="D14">
        <v>-10</v>
      </c>
      <c r="E14">
        <v>4.6370370370370297</v>
      </c>
      <c r="H14">
        <v>1</v>
      </c>
    </row>
    <row r="15" spans="1:9" x14ac:dyDescent="0.35">
      <c r="A15" t="s">
        <v>0</v>
      </c>
      <c r="B15" t="s">
        <v>17</v>
      </c>
      <c r="C15">
        <v>0</v>
      </c>
      <c r="D15">
        <v>0</v>
      </c>
      <c r="E15">
        <v>4</v>
      </c>
      <c r="I15">
        <v>1</v>
      </c>
    </row>
    <row r="16" spans="1:9" x14ac:dyDescent="0.35">
      <c r="A16" t="s">
        <v>0</v>
      </c>
      <c r="B16" t="s">
        <v>17</v>
      </c>
      <c r="C16">
        <v>1</v>
      </c>
      <c r="D16">
        <v>6</v>
      </c>
      <c r="E16">
        <v>3.0074074074074</v>
      </c>
      <c r="G16">
        <v>1</v>
      </c>
    </row>
    <row r="17" spans="1:9" x14ac:dyDescent="0.35">
      <c r="A17" t="s">
        <v>0</v>
      </c>
      <c r="B17" t="s">
        <v>16</v>
      </c>
      <c r="C17">
        <v>1</v>
      </c>
      <c r="D17">
        <v>0</v>
      </c>
      <c r="E17">
        <v>5</v>
      </c>
      <c r="F17">
        <v>1</v>
      </c>
    </row>
    <row r="18" spans="1:9" x14ac:dyDescent="0.35">
      <c r="A18" t="s">
        <v>0</v>
      </c>
      <c r="B18" t="s">
        <v>17</v>
      </c>
      <c r="C18">
        <v>0</v>
      </c>
      <c r="D18">
        <v>0</v>
      </c>
      <c r="E18">
        <v>5</v>
      </c>
      <c r="I18">
        <v>1</v>
      </c>
    </row>
    <row r="19" spans="1:9" x14ac:dyDescent="0.35">
      <c r="A19" t="s">
        <v>0</v>
      </c>
      <c r="B19" t="s">
        <v>17</v>
      </c>
      <c r="C19">
        <v>0</v>
      </c>
      <c r="D19">
        <v>0</v>
      </c>
      <c r="E19">
        <v>5</v>
      </c>
      <c r="I19">
        <v>1</v>
      </c>
    </row>
    <row r="20" spans="1:9" x14ac:dyDescent="0.35">
      <c r="A20" t="s">
        <v>0</v>
      </c>
      <c r="B20" t="s">
        <v>16</v>
      </c>
      <c r="C20">
        <v>1</v>
      </c>
      <c r="D20">
        <v>0</v>
      </c>
      <c r="E20">
        <v>5</v>
      </c>
      <c r="F20">
        <v>1</v>
      </c>
    </row>
    <row r="21" spans="1:9" x14ac:dyDescent="0.35">
      <c r="A21" t="s">
        <v>0</v>
      </c>
      <c r="B21" t="s">
        <v>17</v>
      </c>
      <c r="C21">
        <v>1</v>
      </c>
      <c r="D21">
        <v>-8</v>
      </c>
      <c r="E21">
        <v>4.4740740740740703</v>
      </c>
      <c r="G21">
        <v>1</v>
      </c>
    </row>
    <row r="22" spans="1:9" x14ac:dyDescent="0.35">
      <c r="A22" t="s">
        <v>0</v>
      </c>
      <c r="B22" t="s">
        <v>16</v>
      </c>
      <c r="C22">
        <v>0</v>
      </c>
      <c r="D22">
        <v>1</v>
      </c>
      <c r="E22">
        <v>5</v>
      </c>
      <c r="H22">
        <v>1</v>
      </c>
    </row>
    <row r="23" spans="1:9" x14ac:dyDescent="0.35">
      <c r="A23" t="s">
        <v>0</v>
      </c>
      <c r="B23" t="s">
        <v>16</v>
      </c>
      <c r="C23">
        <v>0</v>
      </c>
      <c r="D23">
        <v>-1</v>
      </c>
      <c r="E23">
        <v>5</v>
      </c>
      <c r="H23">
        <v>1</v>
      </c>
    </row>
    <row r="24" spans="1:9" x14ac:dyDescent="0.35">
      <c r="A24" t="s">
        <v>10</v>
      </c>
      <c r="B24" t="s">
        <v>17</v>
      </c>
      <c r="C24">
        <v>1</v>
      </c>
      <c r="D24">
        <v>-6</v>
      </c>
      <c r="E24">
        <v>5</v>
      </c>
      <c r="G24">
        <v>1</v>
      </c>
    </row>
    <row r="25" spans="1:9" x14ac:dyDescent="0.35">
      <c r="A25" t="s">
        <v>10</v>
      </c>
      <c r="B25" t="s">
        <v>17</v>
      </c>
      <c r="C25">
        <v>0</v>
      </c>
      <c r="D25">
        <v>0</v>
      </c>
      <c r="E25">
        <v>4.9703703703703699</v>
      </c>
      <c r="I25">
        <v>1</v>
      </c>
    </row>
    <row r="26" spans="1:9" x14ac:dyDescent="0.35">
      <c r="A26" t="s">
        <v>10</v>
      </c>
      <c r="B26" t="s">
        <v>17</v>
      </c>
      <c r="C26">
        <v>1</v>
      </c>
      <c r="D26">
        <v>-10</v>
      </c>
      <c r="E26">
        <v>3.9740740740740699</v>
      </c>
      <c r="G26">
        <v>1</v>
      </c>
    </row>
    <row r="27" spans="1:9" x14ac:dyDescent="0.35">
      <c r="A27" t="s">
        <v>10</v>
      </c>
      <c r="B27" t="s">
        <v>17</v>
      </c>
      <c r="C27">
        <v>1</v>
      </c>
      <c r="D27">
        <v>5</v>
      </c>
      <c r="E27">
        <v>4.9592592592592499</v>
      </c>
      <c r="G27">
        <v>1</v>
      </c>
    </row>
    <row r="28" spans="1:9" x14ac:dyDescent="0.35">
      <c r="A28" t="s">
        <v>10</v>
      </c>
      <c r="B28" t="s">
        <v>16</v>
      </c>
      <c r="C28">
        <v>1</v>
      </c>
      <c r="D28">
        <v>0</v>
      </c>
      <c r="E28">
        <v>5</v>
      </c>
      <c r="F28">
        <v>1</v>
      </c>
    </row>
    <row r="29" spans="1:9" x14ac:dyDescent="0.35">
      <c r="A29" t="s">
        <v>10</v>
      </c>
      <c r="B29" t="s">
        <v>16</v>
      </c>
      <c r="C29">
        <v>1</v>
      </c>
      <c r="D29">
        <v>0</v>
      </c>
      <c r="E29">
        <v>5</v>
      </c>
      <c r="F29">
        <v>1</v>
      </c>
    </row>
    <row r="30" spans="1:9" x14ac:dyDescent="0.35">
      <c r="A30" t="s">
        <v>10</v>
      </c>
      <c r="B30" t="s">
        <v>16</v>
      </c>
      <c r="C30">
        <v>0</v>
      </c>
      <c r="D30">
        <v>1</v>
      </c>
      <c r="E30">
        <v>4.4703703703703699</v>
      </c>
      <c r="H30">
        <v>1</v>
      </c>
    </row>
    <row r="31" spans="1:9" x14ac:dyDescent="0.35">
      <c r="A31" t="s">
        <v>10</v>
      </c>
      <c r="B31" t="s">
        <v>17</v>
      </c>
      <c r="C31">
        <v>0</v>
      </c>
      <c r="D31">
        <v>0</v>
      </c>
      <c r="E31">
        <v>5</v>
      </c>
      <c r="I31">
        <v>1</v>
      </c>
    </row>
    <row r="32" spans="1:9" x14ac:dyDescent="0.35">
      <c r="A32" t="s">
        <v>10</v>
      </c>
      <c r="B32" t="s">
        <v>16</v>
      </c>
      <c r="C32">
        <v>1</v>
      </c>
      <c r="D32">
        <v>0</v>
      </c>
      <c r="E32">
        <v>5</v>
      </c>
      <c r="F32">
        <v>1</v>
      </c>
    </row>
    <row r="33" spans="1:9" x14ac:dyDescent="0.35">
      <c r="A33" t="s">
        <v>10</v>
      </c>
      <c r="B33" t="s">
        <v>16</v>
      </c>
      <c r="C33">
        <v>0</v>
      </c>
      <c r="D33">
        <v>0</v>
      </c>
      <c r="E33">
        <v>5</v>
      </c>
      <c r="I33">
        <v>1</v>
      </c>
    </row>
    <row r="34" spans="1:9" x14ac:dyDescent="0.35">
      <c r="A34" t="s">
        <v>10</v>
      </c>
      <c r="B34" t="s">
        <v>16</v>
      </c>
      <c r="C34">
        <v>1</v>
      </c>
      <c r="D34">
        <v>0</v>
      </c>
      <c r="E34">
        <v>5</v>
      </c>
      <c r="H34">
        <v>1</v>
      </c>
    </row>
    <row r="35" spans="1:9" x14ac:dyDescent="0.35">
      <c r="A35" t="s">
        <v>2</v>
      </c>
      <c r="B35" t="s">
        <v>17</v>
      </c>
      <c r="C35">
        <v>1</v>
      </c>
      <c r="D35">
        <v>-3</v>
      </c>
      <c r="E35">
        <v>5</v>
      </c>
      <c r="G35">
        <v>1</v>
      </c>
    </row>
    <row r="36" spans="1:9" x14ac:dyDescent="0.35">
      <c r="A36" t="s">
        <v>2</v>
      </c>
      <c r="B36" t="s">
        <v>16</v>
      </c>
      <c r="C36">
        <v>0</v>
      </c>
      <c r="D36">
        <v>-6</v>
      </c>
      <c r="E36">
        <v>1.9777777777777701</v>
      </c>
      <c r="H36">
        <v>1</v>
      </c>
    </row>
    <row r="37" spans="1:9" x14ac:dyDescent="0.35">
      <c r="A37" t="s">
        <v>2</v>
      </c>
      <c r="B37" t="s">
        <v>17</v>
      </c>
      <c r="C37">
        <v>1</v>
      </c>
      <c r="D37">
        <v>-3</v>
      </c>
      <c r="E37">
        <v>2.9592592592592499</v>
      </c>
      <c r="G37">
        <v>1</v>
      </c>
    </row>
    <row r="38" spans="1:9" x14ac:dyDescent="0.35">
      <c r="A38" t="s">
        <v>2</v>
      </c>
      <c r="B38" t="s">
        <v>17</v>
      </c>
      <c r="C38">
        <v>0</v>
      </c>
      <c r="D38">
        <v>0</v>
      </c>
      <c r="E38">
        <v>4.0037037037037004</v>
      </c>
      <c r="I38">
        <v>1</v>
      </c>
    </row>
    <row r="39" spans="1:9" x14ac:dyDescent="0.35">
      <c r="A39" t="s">
        <v>2</v>
      </c>
      <c r="B39" t="s">
        <v>17</v>
      </c>
      <c r="C39">
        <v>1</v>
      </c>
      <c r="D39">
        <v>2</v>
      </c>
      <c r="E39">
        <v>5</v>
      </c>
      <c r="G39">
        <v>1</v>
      </c>
    </row>
    <row r="40" spans="1:9" x14ac:dyDescent="0.35">
      <c r="A40" t="s">
        <v>2</v>
      </c>
      <c r="B40" t="s">
        <v>16</v>
      </c>
      <c r="C40">
        <v>1</v>
      </c>
      <c r="D40">
        <v>0</v>
      </c>
      <c r="E40">
        <v>5</v>
      </c>
      <c r="F40">
        <v>1</v>
      </c>
    </row>
    <row r="41" spans="1:9" x14ac:dyDescent="0.35">
      <c r="A41" t="s">
        <v>2</v>
      </c>
      <c r="B41" t="s">
        <v>17</v>
      </c>
      <c r="C41">
        <v>1</v>
      </c>
      <c r="D41">
        <v>-5</v>
      </c>
      <c r="E41">
        <v>5</v>
      </c>
      <c r="G41">
        <v>1</v>
      </c>
    </row>
    <row r="42" spans="1:9" x14ac:dyDescent="0.35">
      <c r="A42" t="s">
        <v>2</v>
      </c>
      <c r="B42" t="s">
        <v>16</v>
      </c>
      <c r="C42">
        <v>1</v>
      </c>
      <c r="D42">
        <v>0</v>
      </c>
      <c r="E42">
        <v>5</v>
      </c>
      <c r="F42">
        <v>1</v>
      </c>
    </row>
    <row r="43" spans="1:9" x14ac:dyDescent="0.35">
      <c r="A43" t="s">
        <v>2</v>
      </c>
      <c r="B43" t="s">
        <v>16</v>
      </c>
      <c r="C43">
        <v>1</v>
      </c>
      <c r="D43">
        <v>0</v>
      </c>
      <c r="E43">
        <v>5</v>
      </c>
      <c r="F43">
        <v>1</v>
      </c>
    </row>
    <row r="44" spans="1:9" x14ac:dyDescent="0.35">
      <c r="A44" t="s">
        <v>2</v>
      </c>
      <c r="B44" t="s">
        <v>17</v>
      </c>
      <c r="C44">
        <v>1</v>
      </c>
      <c r="D44">
        <v>-7</v>
      </c>
      <c r="E44">
        <v>5</v>
      </c>
      <c r="G44">
        <v>1</v>
      </c>
    </row>
    <row r="45" spans="1:9" x14ac:dyDescent="0.35">
      <c r="A45" t="s">
        <v>2</v>
      </c>
      <c r="B45" t="s">
        <v>17</v>
      </c>
      <c r="C45">
        <v>1</v>
      </c>
      <c r="D45">
        <v>6</v>
      </c>
      <c r="E45">
        <v>5</v>
      </c>
      <c r="G45">
        <v>1</v>
      </c>
    </row>
    <row r="46" spans="1:9" x14ac:dyDescent="0.35">
      <c r="A46" t="s">
        <v>5</v>
      </c>
      <c r="B46" t="s">
        <v>16</v>
      </c>
      <c r="C46">
        <v>1</v>
      </c>
      <c r="D46">
        <v>0</v>
      </c>
      <c r="E46">
        <v>5</v>
      </c>
      <c r="F46">
        <v>1</v>
      </c>
    </row>
    <row r="47" spans="1:9" x14ac:dyDescent="0.35">
      <c r="A47" t="s">
        <v>5</v>
      </c>
      <c r="B47" t="s">
        <v>16</v>
      </c>
      <c r="C47">
        <v>0</v>
      </c>
      <c r="D47">
        <v>8</v>
      </c>
      <c r="E47">
        <v>4.3481481481481401</v>
      </c>
      <c r="H47">
        <v>1</v>
      </c>
    </row>
    <row r="48" spans="1:9" x14ac:dyDescent="0.35">
      <c r="A48" t="s">
        <v>5</v>
      </c>
      <c r="B48" t="s">
        <v>16</v>
      </c>
      <c r="C48">
        <v>1</v>
      </c>
      <c r="D48">
        <v>0</v>
      </c>
      <c r="E48">
        <v>3.9851851851851801</v>
      </c>
      <c r="F48">
        <v>1</v>
      </c>
    </row>
    <row r="49" spans="1:9" x14ac:dyDescent="0.35">
      <c r="A49" t="s">
        <v>5</v>
      </c>
      <c r="B49" t="s">
        <v>16</v>
      </c>
      <c r="C49">
        <v>0</v>
      </c>
      <c r="D49">
        <v>9</v>
      </c>
      <c r="E49">
        <v>3.9629629629629601</v>
      </c>
      <c r="H49">
        <v>1</v>
      </c>
    </row>
    <row r="50" spans="1:9" x14ac:dyDescent="0.35">
      <c r="A50" t="s">
        <v>5</v>
      </c>
      <c r="B50" t="s">
        <v>16</v>
      </c>
      <c r="C50">
        <v>1</v>
      </c>
      <c r="D50">
        <v>0</v>
      </c>
      <c r="E50">
        <v>5</v>
      </c>
      <c r="F50">
        <v>1</v>
      </c>
    </row>
    <row r="51" spans="1:9" x14ac:dyDescent="0.35">
      <c r="A51" t="s">
        <v>5</v>
      </c>
      <c r="B51" t="s">
        <v>17</v>
      </c>
      <c r="C51">
        <v>1</v>
      </c>
      <c r="D51">
        <v>2</v>
      </c>
      <c r="E51">
        <v>5</v>
      </c>
      <c r="G51">
        <v>1</v>
      </c>
    </row>
    <row r="52" spans="1:9" x14ac:dyDescent="0.35">
      <c r="A52" t="s">
        <v>5</v>
      </c>
      <c r="B52" t="s">
        <v>16</v>
      </c>
      <c r="C52">
        <v>1</v>
      </c>
      <c r="D52">
        <v>0</v>
      </c>
      <c r="E52">
        <v>5</v>
      </c>
      <c r="F52">
        <v>1</v>
      </c>
    </row>
    <row r="53" spans="1:9" x14ac:dyDescent="0.35">
      <c r="A53" t="s">
        <v>5</v>
      </c>
      <c r="B53" t="s">
        <v>16</v>
      </c>
      <c r="C53">
        <v>1</v>
      </c>
      <c r="D53">
        <v>0</v>
      </c>
      <c r="E53">
        <v>5</v>
      </c>
      <c r="F53">
        <v>1</v>
      </c>
    </row>
    <row r="54" spans="1:9" x14ac:dyDescent="0.35">
      <c r="A54" t="s">
        <v>5</v>
      </c>
      <c r="B54" t="s">
        <v>17</v>
      </c>
      <c r="C54">
        <v>1</v>
      </c>
      <c r="D54">
        <v>-8</v>
      </c>
      <c r="E54">
        <v>5</v>
      </c>
      <c r="G54">
        <v>1</v>
      </c>
    </row>
    <row r="55" spans="1:9" x14ac:dyDescent="0.35">
      <c r="A55" t="s">
        <v>5</v>
      </c>
      <c r="B55" t="s">
        <v>16</v>
      </c>
      <c r="C55">
        <v>1</v>
      </c>
      <c r="D55">
        <v>0</v>
      </c>
      <c r="E55">
        <v>5</v>
      </c>
      <c r="F55">
        <v>1</v>
      </c>
    </row>
    <row r="56" spans="1:9" x14ac:dyDescent="0.35">
      <c r="A56" t="s">
        <v>5</v>
      </c>
      <c r="B56" t="s">
        <v>16</v>
      </c>
      <c r="C56">
        <v>1</v>
      </c>
      <c r="D56">
        <v>0</v>
      </c>
      <c r="E56">
        <v>5</v>
      </c>
      <c r="F56">
        <v>1</v>
      </c>
    </row>
    <row r="57" spans="1:9" x14ac:dyDescent="0.35">
      <c r="A57" t="s">
        <v>9</v>
      </c>
      <c r="B57" t="s">
        <v>16</v>
      </c>
      <c r="C57">
        <v>1</v>
      </c>
      <c r="D57">
        <v>0</v>
      </c>
      <c r="E57">
        <v>4.05555555555555</v>
      </c>
      <c r="F57">
        <v>1</v>
      </c>
    </row>
    <row r="58" spans="1:9" x14ac:dyDescent="0.35">
      <c r="A58" t="s">
        <v>9</v>
      </c>
      <c r="B58" t="s">
        <v>16</v>
      </c>
      <c r="C58">
        <v>1</v>
      </c>
      <c r="D58">
        <v>0</v>
      </c>
      <c r="E58">
        <v>4.9703703703703699</v>
      </c>
      <c r="F58">
        <v>1</v>
      </c>
    </row>
    <row r="59" spans="1:9" x14ac:dyDescent="0.35">
      <c r="A59" t="s">
        <v>9</v>
      </c>
      <c r="B59" t="s">
        <v>16</v>
      </c>
      <c r="C59">
        <v>1</v>
      </c>
      <c r="D59">
        <v>0</v>
      </c>
      <c r="E59">
        <v>3.9851851851851801</v>
      </c>
      <c r="F59">
        <v>1</v>
      </c>
    </row>
    <row r="60" spans="1:9" x14ac:dyDescent="0.35">
      <c r="A60" t="s">
        <v>9</v>
      </c>
      <c r="B60" t="s">
        <v>17</v>
      </c>
      <c r="C60">
        <v>0</v>
      </c>
      <c r="D60">
        <v>0</v>
      </c>
      <c r="E60">
        <v>3.9851851851851801</v>
      </c>
      <c r="I60">
        <v>1</v>
      </c>
    </row>
    <row r="61" spans="1:9" x14ac:dyDescent="0.35">
      <c r="A61" t="s">
        <v>9</v>
      </c>
      <c r="B61" t="s">
        <v>17</v>
      </c>
      <c r="C61">
        <v>1</v>
      </c>
      <c r="D61">
        <v>-5</v>
      </c>
      <c r="E61">
        <v>5</v>
      </c>
      <c r="G61">
        <v>1</v>
      </c>
    </row>
    <row r="62" spans="1:9" x14ac:dyDescent="0.35">
      <c r="A62" t="s">
        <v>9</v>
      </c>
      <c r="B62" t="s">
        <v>17</v>
      </c>
      <c r="C62">
        <v>1</v>
      </c>
      <c r="D62">
        <v>6</v>
      </c>
      <c r="E62">
        <v>5</v>
      </c>
      <c r="G62">
        <v>1</v>
      </c>
    </row>
    <row r="63" spans="1:9" x14ac:dyDescent="0.35">
      <c r="A63" t="s">
        <v>9</v>
      </c>
      <c r="B63" t="s">
        <v>17</v>
      </c>
      <c r="C63">
        <v>0</v>
      </c>
      <c r="D63">
        <v>0</v>
      </c>
      <c r="E63">
        <v>5</v>
      </c>
      <c r="I63">
        <v>1</v>
      </c>
    </row>
    <row r="64" spans="1:9" x14ac:dyDescent="0.35">
      <c r="A64" t="s">
        <v>9</v>
      </c>
      <c r="B64" t="s">
        <v>17</v>
      </c>
      <c r="C64">
        <v>1</v>
      </c>
      <c r="D64">
        <v>9</v>
      </c>
      <c r="E64">
        <v>5</v>
      </c>
      <c r="G64">
        <v>1</v>
      </c>
    </row>
    <row r="65" spans="1:21" x14ac:dyDescent="0.35">
      <c r="A65" t="s">
        <v>9</v>
      </c>
      <c r="B65" t="s">
        <v>16</v>
      </c>
      <c r="C65">
        <v>1</v>
      </c>
      <c r="D65">
        <v>0</v>
      </c>
      <c r="E65">
        <v>5</v>
      </c>
      <c r="F65">
        <v>1</v>
      </c>
    </row>
    <row r="66" spans="1:21" x14ac:dyDescent="0.35">
      <c r="A66" t="s">
        <v>9</v>
      </c>
      <c r="B66" t="s">
        <v>17</v>
      </c>
      <c r="C66">
        <v>1</v>
      </c>
      <c r="D66">
        <v>4</v>
      </c>
      <c r="E66">
        <v>5</v>
      </c>
      <c r="G66">
        <v>1</v>
      </c>
    </row>
    <row r="67" spans="1:21" x14ac:dyDescent="0.35">
      <c r="A67" t="s">
        <v>9</v>
      </c>
      <c r="B67" t="s">
        <v>17</v>
      </c>
      <c r="C67">
        <v>1</v>
      </c>
      <c r="D67">
        <v>4</v>
      </c>
      <c r="E67">
        <v>5</v>
      </c>
      <c r="G67">
        <v>1</v>
      </c>
    </row>
    <row r="68" spans="1:21" x14ac:dyDescent="0.35">
      <c r="A68" t="s">
        <v>11</v>
      </c>
      <c r="B68" t="s">
        <v>17</v>
      </c>
      <c r="C68">
        <v>1</v>
      </c>
      <c r="D68">
        <v>-7</v>
      </c>
      <c r="E68">
        <v>3.5185185185185102</v>
      </c>
      <c r="G68">
        <v>1</v>
      </c>
    </row>
    <row r="69" spans="1:21" x14ac:dyDescent="0.35">
      <c r="A69" t="s">
        <v>11</v>
      </c>
      <c r="B69" t="s">
        <v>17</v>
      </c>
      <c r="C69">
        <v>0</v>
      </c>
      <c r="D69">
        <v>0</v>
      </c>
      <c r="E69">
        <v>3.9814814814814801</v>
      </c>
      <c r="I69">
        <v>1</v>
      </c>
    </row>
    <row r="70" spans="1:21" x14ac:dyDescent="0.35">
      <c r="A70" t="s">
        <v>11</v>
      </c>
      <c r="B70" t="s">
        <v>16</v>
      </c>
      <c r="C70">
        <v>1</v>
      </c>
      <c r="D70">
        <v>0</v>
      </c>
      <c r="E70">
        <v>4.0222222222222204</v>
      </c>
      <c r="F70">
        <v>1</v>
      </c>
    </row>
    <row r="71" spans="1:21" x14ac:dyDescent="0.35">
      <c r="A71" t="s">
        <v>11</v>
      </c>
      <c r="B71" t="s">
        <v>16</v>
      </c>
      <c r="C71">
        <v>0</v>
      </c>
      <c r="D71">
        <v>2</v>
      </c>
      <c r="E71">
        <v>2.9740740740740699</v>
      </c>
      <c r="H71">
        <v>1</v>
      </c>
    </row>
    <row r="72" spans="1:21" x14ac:dyDescent="0.35">
      <c r="A72" t="s">
        <v>11</v>
      </c>
      <c r="B72" t="s">
        <v>17</v>
      </c>
      <c r="C72">
        <v>1</v>
      </c>
      <c r="D72">
        <v>-5</v>
      </c>
      <c r="E72">
        <v>5</v>
      </c>
      <c r="G72">
        <v>1</v>
      </c>
    </row>
    <row r="73" spans="1:21" x14ac:dyDescent="0.35">
      <c r="A73" t="s">
        <v>11</v>
      </c>
      <c r="B73" t="s">
        <v>17</v>
      </c>
      <c r="C73">
        <v>1</v>
      </c>
      <c r="D73">
        <v>1</v>
      </c>
      <c r="E73">
        <v>3.9629629629629601</v>
      </c>
      <c r="G73">
        <v>1</v>
      </c>
    </row>
    <row r="74" spans="1:21" x14ac:dyDescent="0.35">
      <c r="A74" t="s">
        <v>11</v>
      </c>
      <c r="B74" t="s">
        <v>16</v>
      </c>
      <c r="C74">
        <v>0</v>
      </c>
      <c r="D74">
        <v>8</v>
      </c>
      <c r="E74">
        <v>5</v>
      </c>
      <c r="H74">
        <v>1</v>
      </c>
    </row>
    <row r="75" spans="1:21" x14ac:dyDescent="0.35">
      <c r="A75" t="s">
        <v>11</v>
      </c>
      <c r="B75" t="s">
        <v>16</v>
      </c>
      <c r="C75">
        <v>1</v>
      </c>
      <c r="D75">
        <v>0</v>
      </c>
      <c r="E75">
        <v>5</v>
      </c>
      <c r="F75">
        <v>1</v>
      </c>
    </row>
    <row r="76" spans="1:21" x14ac:dyDescent="0.35">
      <c r="A76" t="s">
        <v>11</v>
      </c>
      <c r="B76" t="s">
        <v>17</v>
      </c>
      <c r="C76">
        <v>1</v>
      </c>
      <c r="D76">
        <v>9</v>
      </c>
      <c r="E76">
        <v>5</v>
      </c>
      <c r="G76">
        <v>1</v>
      </c>
    </row>
    <row r="77" spans="1:21" x14ac:dyDescent="0.35">
      <c r="A77" t="s">
        <v>11</v>
      </c>
      <c r="B77" t="s">
        <v>17</v>
      </c>
      <c r="C77">
        <v>1</v>
      </c>
      <c r="D77">
        <v>9</v>
      </c>
      <c r="E77">
        <v>5</v>
      </c>
      <c r="G77">
        <v>1</v>
      </c>
      <c r="K77" t="s">
        <v>26</v>
      </c>
      <c r="L77">
        <f>F79/(F79+I79)</f>
        <v>0.66666666666666663</v>
      </c>
      <c r="N77" t="s">
        <v>28</v>
      </c>
      <c r="O77">
        <f>NORMSINV(L77)-NORMSINV(L78)</f>
        <v>0.91023295262640791</v>
      </c>
      <c r="Q77" t="s">
        <v>35</v>
      </c>
      <c r="R77">
        <f>AVERAGE(C2:C78,1,E2:E157)</f>
        <v>2.8598499361430347</v>
      </c>
      <c r="T77" t="s">
        <v>36</v>
      </c>
      <c r="U77">
        <f>R77-R78</f>
        <v>4.3103448275862988E-3</v>
      </c>
    </row>
    <row r="78" spans="1:21" x14ac:dyDescent="0.35">
      <c r="A78" t="s">
        <v>11</v>
      </c>
      <c r="B78" t="s">
        <v>17</v>
      </c>
      <c r="C78">
        <v>1</v>
      </c>
      <c r="D78">
        <v>-4</v>
      </c>
      <c r="E78">
        <v>5</v>
      </c>
      <c r="G78">
        <v>1</v>
      </c>
      <c r="K78" t="s">
        <v>27</v>
      </c>
      <c r="L78">
        <f>H79/(H79+G79)</f>
        <v>0.31578947368421051</v>
      </c>
      <c r="Q78" t="s">
        <v>33</v>
      </c>
      <c r="R78">
        <f>AVERAGE(C2:C78,0,E2:E157)</f>
        <v>2.8555395913154484</v>
      </c>
      <c r="T78" t="s">
        <v>37</v>
      </c>
      <c r="U78">
        <f>U77/O77</f>
        <v>4.7354304358561477E-3</v>
      </c>
    </row>
    <row r="79" spans="1:21" x14ac:dyDescent="0.35">
      <c r="E79" t="s">
        <v>25</v>
      </c>
      <c r="F79">
        <f>SUM(F2:F78)</f>
        <v>26</v>
      </c>
      <c r="G79">
        <f t="shared" ref="G79:I79" si="0">SUM(G2:G78)</f>
        <v>26</v>
      </c>
      <c r="H79">
        <f t="shared" si="0"/>
        <v>12</v>
      </c>
      <c r="I79">
        <f t="shared" si="0"/>
        <v>13</v>
      </c>
    </row>
    <row r="80" spans="1:21" x14ac:dyDescent="0.35">
      <c r="A80" t="s">
        <v>3</v>
      </c>
      <c r="B80" t="s">
        <v>16</v>
      </c>
      <c r="C80">
        <v>0</v>
      </c>
      <c r="D80">
        <v>3</v>
      </c>
      <c r="E80">
        <v>4.48888888888888</v>
      </c>
      <c r="H80">
        <v>1</v>
      </c>
    </row>
    <row r="81" spans="1:9" x14ac:dyDescent="0.35">
      <c r="A81" t="s">
        <v>3</v>
      </c>
      <c r="B81" t="s">
        <v>16</v>
      </c>
      <c r="C81">
        <v>0</v>
      </c>
      <c r="D81">
        <v>-9</v>
      </c>
      <c r="E81">
        <v>2.9666666666666601</v>
      </c>
      <c r="H81">
        <v>1</v>
      </c>
    </row>
    <row r="82" spans="1:9" x14ac:dyDescent="0.35">
      <c r="A82" t="s">
        <v>3</v>
      </c>
      <c r="B82" t="s">
        <v>16</v>
      </c>
      <c r="C82">
        <v>1</v>
      </c>
      <c r="D82">
        <v>0</v>
      </c>
      <c r="E82">
        <v>1</v>
      </c>
      <c r="F82">
        <v>1</v>
      </c>
    </row>
    <row r="83" spans="1:9" x14ac:dyDescent="0.35">
      <c r="A83" t="s">
        <v>3</v>
      </c>
      <c r="B83" t="s">
        <v>16</v>
      </c>
      <c r="C83">
        <v>1</v>
      </c>
      <c r="D83">
        <v>0</v>
      </c>
      <c r="E83">
        <v>2.9814814814814801</v>
      </c>
      <c r="F83">
        <v>1</v>
      </c>
    </row>
    <row r="84" spans="1:9" x14ac:dyDescent="0.35">
      <c r="A84" t="s">
        <v>3</v>
      </c>
      <c r="B84" t="s">
        <v>16</v>
      </c>
      <c r="C84">
        <v>1</v>
      </c>
      <c r="D84">
        <v>0</v>
      </c>
      <c r="E84">
        <v>3.0111111111111102</v>
      </c>
      <c r="F84">
        <v>1</v>
      </c>
    </row>
    <row r="85" spans="1:9" x14ac:dyDescent="0.35">
      <c r="A85" t="s">
        <v>3</v>
      </c>
      <c r="B85" t="s">
        <v>17</v>
      </c>
      <c r="C85">
        <v>0</v>
      </c>
      <c r="D85">
        <v>0</v>
      </c>
      <c r="E85">
        <v>2.9777777777777699</v>
      </c>
      <c r="I85">
        <v>1</v>
      </c>
    </row>
    <row r="86" spans="1:9" x14ac:dyDescent="0.35">
      <c r="A86" t="s">
        <v>3</v>
      </c>
      <c r="B86" t="s">
        <v>17</v>
      </c>
      <c r="C86">
        <v>0</v>
      </c>
      <c r="D86">
        <v>0</v>
      </c>
      <c r="E86">
        <v>3.0111111111111102</v>
      </c>
      <c r="I86">
        <v>1</v>
      </c>
    </row>
    <row r="87" spans="1:9" x14ac:dyDescent="0.35">
      <c r="A87" t="s">
        <v>3</v>
      </c>
      <c r="B87" t="s">
        <v>16</v>
      </c>
      <c r="C87">
        <v>1</v>
      </c>
      <c r="D87">
        <v>0</v>
      </c>
      <c r="E87">
        <v>4.0074074074074</v>
      </c>
      <c r="F87">
        <v>1</v>
      </c>
    </row>
    <row r="88" spans="1:9" x14ac:dyDescent="0.35">
      <c r="A88" t="s">
        <v>3</v>
      </c>
      <c r="B88" t="s">
        <v>16</v>
      </c>
      <c r="C88">
        <v>1</v>
      </c>
      <c r="D88">
        <v>0</v>
      </c>
      <c r="E88">
        <v>2.9962962962962898</v>
      </c>
      <c r="F88">
        <v>1</v>
      </c>
    </row>
    <row r="89" spans="1:9" x14ac:dyDescent="0.35">
      <c r="A89" t="s">
        <v>3</v>
      </c>
      <c r="B89" t="s">
        <v>17</v>
      </c>
      <c r="C89">
        <v>1</v>
      </c>
      <c r="D89">
        <v>4</v>
      </c>
      <c r="E89">
        <v>3.0148148148148102</v>
      </c>
      <c r="G89">
        <v>1</v>
      </c>
    </row>
    <row r="90" spans="1:9" x14ac:dyDescent="0.35">
      <c r="A90" t="s">
        <v>3</v>
      </c>
      <c r="B90" t="s">
        <v>16</v>
      </c>
      <c r="C90">
        <v>0</v>
      </c>
      <c r="D90">
        <v>-3</v>
      </c>
      <c r="E90">
        <v>2.9925925925925898</v>
      </c>
      <c r="H90">
        <v>1</v>
      </c>
    </row>
    <row r="91" spans="1:9" x14ac:dyDescent="0.35">
      <c r="A91" t="s">
        <v>7</v>
      </c>
      <c r="B91" t="s">
        <v>16</v>
      </c>
      <c r="C91">
        <v>1</v>
      </c>
      <c r="D91">
        <v>0</v>
      </c>
      <c r="E91">
        <v>4.9666666666666597</v>
      </c>
      <c r="F91">
        <v>1</v>
      </c>
    </row>
    <row r="92" spans="1:9" x14ac:dyDescent="0.35">
      <c r="A92" t="s">
        <v>7</v>
      </c>
      <c r="B92" t="s">
        <v>16</v>
      </c>
      <c r="C92">
        <v>1</v>
      </c>
      <c r="D92">
        <v>0</v>
      </c>
      <c r="E92">
        <v>1.95185185185185</v>
      </c>
      <c r="F92">
        <v>1</v>
      </c>
    </row>
    <row r="93" spans="1:9" x14ac:dyDescent="0.35">
      <c r="A93" t="s">
        <v>7</v>
      </c>
      <c r="B93" t="s">
        <v>16</v>
      </c>
      <c r="C93">
        <v>0</v>
      </c>
      <c r="D93">
        <v>2</v>
      </c>
      <c r="E93">
        <v>4.0037037037037004</v>
      </c>
      <c r="H93">
        <v>1</v>
      </c>
    </row>
    <row r="94" spans="1:9" x14ac:dyDescent="0.35">
      <c r="A94" t="s">
        <v>7</v>
      </c>
      <c r="B94" t="s">
        <v>17</v>
      </c>
      <c r="C94">
        <v>0</v>
      </c>
      <c r="D94">
        <v>0</v>
      </c>
      <c r="E94">
        <v>3.9666666666666601</v>
      </c>
      <c r="I94">
        <v>1</v>
      </c>
    </row>
    <row r="95" spans="1:9" x14ac:dyDescent="0.35">
      <c r="A95" t="s">
        <v>7</v>
      </c>
      <c r="B95" t="s">
        <v>16</v>
      </c>
      <c r="C95">
        <v>0</v>
      </c>
      <c r="D95">
        <v>3</v>
      </c>
      <c r="E95">
        <v>3.0111111111111102</v>
      </c>
      <c r="H95">
        <v>1</v>
      </c>
    </row>
    <row r="96" spans="1:9" x14ac:dyDescent="0.35">
      <c r="A96" t="s">
        <v>7</v>
      </c>
      <c r="B96" t="s">
        <v>17</v>
      </c>
      <c r="C96">
        <v>1</v>
      </c>
      <c r="D96">
        <v>-8</v>
      </c>
      <c r="E96">
        <v>2.9962962962962898</v>
      </c>
      <c r="G96">
        <v>1</v>
      </c>
    </row>
    <row r="97" spans="1:9" x14ac:dyDescent="0.35">
      <c r="A97" t="s">
        <v>7</v>
      </c>
      <c r="B97" t="s">
        <v>17</v>
      </c>
      <c r="C97">
        <v>0</v>
      </c>
      <c r="D97">
        <v>0</v>
      </c>
      <c r="E97">
        <v>3.98888888888888</v>
      </c>
      <c r="I97">
        <v>1</v>
      </c>
    </row>
    <row r="98" spans="1:9" x14ac:dyDescent="0.35">
      <c r="A98" t="s">
        <v>7</v>
      </c>
      <c r="B98" t="s">
        <v>17</v>
      </c>
      <c r="C98">
        <v>0</v>
      </c>
      <c r="D98">
        <v>0</v>
      </c>
      <c r="E98">
        <v>3.0185185185185102</v>
      </c>
      <c r="I98">
        <v>1</v>
      </c>
    </row>
    <row r="99" spans="1:9" x14ac:dyDescent="0.35">
      <c r="A99" t="s">
        <v>7</v>
      </c>
      <c r="B99" t="s">
        <v>17</v>
      </c>
      <c r="C99">
        <v>1</v>
      </c>
      <c r="D99">
        <v>-8</v>
      </c>
      <c r="E99">
        <v>4.0185185185185102</v>
      </c>
      <c r="G99">
        <v>1</v>
      </c>
    </row>
    <row r="100" spans="1:9" x14ac:dyDescent="0.35">
      <c r="A100" t="s">
        <v>7</v>
      </c>
      <c r="B100" t="s">
        <v>17</v>
      </c>
      <c r="C100">
        <v>1</v>
      </c>
      <c r="D100">
        <v>-7</v>
      </c>
      <c r="E100">
        <v>2.9962962962962898</v>
      </c>
      <c r="G100">
        <v>1</v>
      </c>
    </row>
    <row r="101" spans="1:9" x14ac:dyDescent="0.35">
      <c r="A101" t="s">
        <v>7</v>
      </c>
      <c r="B101" t="s">
        <v>16</v>
      </c>
      <c r="C101">
        <v>1</v>
      </c>
      <c r="D101">
        <v>0</v>
      </c>
      <c r="E101">
        <v>3.0111111111111102</v>
      </c>
      <c r="H101">
        <v>1</v>
      </c>
    </row>
    <row r="102" spans="1:9" x14ac:dyDescent="0.35">
      <c r="A102" t="s">
        <v>6</v>
      </c>
      <c r="B102" t="s">
        <v>16</v>
      </c>
      <c r="C102">
        <v>0</v>
      </c>
      <c r="D102">
        <v>2</v>
      </c>
      <c r="E102">
        <v>3.9962962962962898</v>
      </c>
      <c r="H102">
        <v>1</v>
      </c>
    </row>
    <row r="103" spans="1:9" x14ac:dyDescent="0.35">
      <c r="A103" t="s">
        <v>6</v>
      </c>
      <c r="B103" t="s">
        <v>17</v>
      </c>
      <c r="C103">
        <v>1</v>
      </c>
      <c r="D103">
        <v>-7</v>
      </c>
      <c r="E103">
        <v>1.95185185185185</v>
      </c>
      <c r="G103">
        <v>1</v>
      </c>
    </row>
    <row r="104" spans="1:9" x14ac:dyDescent="0.35">
      <c r="A104" t="s">
        <v>6</v>
      </c>
      <c r="B104" t="s">
        <v>17</v>
      </c>
      <c r="C104">
        <v>1</v>
      </c>
      <c r="D104">
        <v>2</v>
      </c>
      <c r="E104">
        <v>1.9555555555555499</v>
      </c>
      <c r="G104">
        <v>1</v>
      </c>
    </row>
    <row r="105" spans="1:9" x14ac:dyDescent="0.35">
      <c r="A105" t="s">
        <v>6</v>
      </c>
      <c r="B105" t="s">
        <v>17</v>
      </c>
      <c r="C105">
        <v>1</v>
      </c>
      <c r="D105">
        <v>4</v>
      </c>
      <c r="E105">
        <v>3.9962962962962898</v>
      </c>
      <c r="G105">
        <v>1</v>
      </c>
    </row>
    <row r="106" spans="1:9" x14ac:dyDescent="0.35">
      <c r="A106" t="s">
        <v>6</v>
      </c>
      <c r="B106" t="s">
        <v>17</v>
      </c>
      <c r="C106">
        <v>1</v>
      </c>
      <c r="D106">
        <v>-2</v>
      </c>
      <c r="E106">
        <v>2.98888888888888</v>
      </c>
      <c r="G106">
        <v>1</v>
      </c>
    </row>
    <row r="107" spans="1:9" x14ac:dyDescent="0.35">
      <c r="A107" t="s">
        <v>6</v>
      </c>
      <c r="B107" t="s">
        <v>17</v>
      </c>
      <c r="C107">
        <v>0</v>
      </c>
      <c r="D107">
        <v>0</v>
      </c>
      <c r="E107">
        <v>5</v>
      </c>
      <c r="I107">
        <v>1</v>
      </c>
    </row>
    <row r="108" spans="1:9" x14ac:dyDescent="0.35">
      <c r="A108" t="s">
        <v>6</v>
      </c>
      <c r="B108" t="s">
        <v>17</v>
      </c>
      <c r="C108">
        <v>1</v>
      </c>
      <c r="D108">
        <v>-3</v>
      </c>
      <c r="E108">
        <v>3.98888888888888</v>
      </c>
      <c r="G108">
        <v>1</v>
      </c>
    </row>
    <row r="109" spans="1:9" x14ac:dyDescent="0.35">
      <c r="A109" t="s">
        <v>6</v>
      </c>
      <c r="B109" t="s">
        <v>17</v>
      </c>
      <c r="C109">
        <v>1</v>
      </c>
      <c r="D109">
        <v>-9</v>
      </c>
      <c r="E109">
        <v>3</v>
      </c>
      <c r="G109">
        <v>1</v>
      </c>
    </row>
    <row r="110" spans="1:9" x14ac:dyDescent="0.35">
      <c r="A110" t="s">
        <v>6</v>
      </c>
      <c r="B110" t="s">
        <v>17</v>
      </c>
      <c r="C110">
        <v>0</v>
      </c>
      <c r="D110">
        <v>0</v>
      </c>
      <c r="E110">
        <v>2.9962962962962898</v>
      </c>
      <c r="I110">
        <v>1</v>
      </c>
    </row>
    <row r="111" spans="1:9" x14ac:dyDescent="0.35">
      <c r="A111" t="s">
        <v>6</v>
      </c>
      <c r="B111" t="s">
        <v>17</v>
      </c>
      <c r="C111">
        <v>0</v>
      </c>
      <c r="D111">
        <v>0</v>
      </c>
      <c r="E111">
        <v>3.0148148148148102</v>
      </c>
      <c r="I111">
        <v>1</v>
      </c>
    </row>
    <row r="112" spans="1:9" x14ac:dyDescent="0.35">
      <c r="A112" t="s">
        <v>6</v>
      </c>
      <c r="B112" t="s">
        <v>16</v>
      </c>
      <c r="C112">
        <v>1</v>
      </c>
      <c r="D112">
        <v>0</v>
      </c>
      <c r="E112">
        <v>4.0259259259259199</v>
      </c>
      <c r="F112">
        <v>1</v>
      </c>
    </row>
    <row r="113" spans="1:9" x14ac:dyDescent="0.35">
      <c r="A113" t="s">
        <v>13</v>
      </c>
      <c r="B113" t="s">
        <v>17</v>
      </c>
      <c r="C113">
        <v>0</v>
      </c>
      <c r="D113">
        <v>0</v>
      </c>
      <c r="E113">
        <v>2.9777777777777699</v>
      </c>
      <c r="I113">
        <v>1</v>
      </c>
    </row>
    <row r="114" spans="1:9" x14ac:dyDescent="0.35">
      <c r="A114" t="s">
        <v>13</v>
      </c>
      <c r="B114" t="s">
        <v>16</v>
      </c>
      <c r="C114">
        <v>1</v>
      </c>
      <c r="D114">
        <v>0</v>
      </c>
      <c r="E114">
        <v>2.9851851851851801</v>
      </c>
      <c r="F114">
        <v>1</v>
      </c>
    </row>
    <row r="115" spans="1:9" x14ac:dyDescent="0.35">
      <c r="A115" t="s">
        <v>13</v>
      </c>
      <c r="B115" t="s">
        <v>16</v>
      </c>
      <c r="C115">
        <v>1</v>
      </c>
      <c r="D115">
        <v>0</v>
      </c>
      <c r="E115">
        <v>2.98888888888888</v>
      </c>
      <c r="F115">
        <v>1</v>
      </c>
    </row>
    <row r="116" spans="1:9" x14ac:dyDescent="0.35">
      <c r="A116" t="s">
        <v>13</v>
      </c>
      <c r="B116" t="s">
        <v>16</v>
      </c>
      <c r="C116">
        <v>0</v>
      </c>
      <c r="D116">
        <v>-7</v>
      </c>
      <c r="E116">
        <v>3.9555555555555499</v>
      </c>
      <c r="H116">
        <v>1</v>
      </c>
    </row>
    <row r="117" spans="1:9" x14ac:dyDescent="0.35">
      <c r="A117" t="s">
        <v>13</v>
      </c>
      <c r="B117" t="s">
        <v>17</v>
      </c>
      <c r="C117">
        <v>0</v>
      </c>
      <c r="D117">
        <v>0</v>
      </c>
      <c r="E117">
        <v>3.0111111111111102</v>
      </c>
      <c r="I117">
        <v>1</v>
      </c>
    </row>
    <row r="118" spans="1:9" x14ac:dyDescent="0.35">
      <c r="A118" t="s">
        <v>13</v>
      </c>
      <c r="B118" t="s">
        <v>17</v>
      </c>
      <c r="C118">
        <v>0</v>
      </c>
      <c r="D118">
        <v>0</v>
      </c>
      <c r="E118">
        <v>2.9962962962962898</v>
      </c>
      <c r="I118">
        <v>1</v>
      </c>
    </row>
    <row r="119" spans="1:9" x14ac:dyDescent="0.35">
      <c r="A119" t="s">
        <v>13</v>
      </c>
      <c r="B119" t="s">
        <v>17</v>
      </c>
      <c r="C119">
        <v>1</v>
      </c>
      <c r="D119">
        <v>-6</v>
      </c>
      <c r="E119">
        <v>3.0333333333333301</v>
      </c>
      <c r="G119">
        <v>1</v>
      </c>
    </row>
    <row r="120" spans="1:9" x14ac:dyDescent="0.35">
      <c r="A120" t="s">
        <v>13</v>
      </c>
      <c r="B120" t="s">
        <v>17</v>
      </c>
      <c r="C120">
        <v>0</v>
      </c>
      <c r="D120">
        <v>0</v>
      </c>
      <c r="E120">
        <v>1</v>
      </c>
      <c r="I120">
        <v>1</v>
      </c>
    </row>
    <row r="121" spans="1:9" x14ac:dyDescent="0.35">
      <c r="A121" t="s">
        <v>13</v>
      </c>
      <c r="B121" t="s">
        <v>17</v>
      </c>
      <c r="C121">
        <v>1</v>
      </c>
      <c r="D121">
        <v>9</v>
      </c>
      <c r="E121">
        <v>5</v>
      </c>
      <c r="G121">
        <v>1</v>
      </c>
    </row>
    <row r="122" spans="1:9" x14ac:dyDescent="0.35">
      <c r="A122" t="s">
        <v>13</v>
      </c>
      <c r="B122" t="s">
        <v>17</v>
      </c>
      <c r="C122">
        <v>1</v>
      </c>
      <c r="D122">
        <v>2</v>
      </c>
      <c r="E122">
        <v>1</v>
      </c>
      <c r="G122">
        <v>1</v>
      </c>
    </row>
    <row r="123" spans="1:9" x14ac:dyDescent="0.35">
      <c r="A123" t="s">
        <v>13</v>
      </c>
      <c r="B123" t="s">
        <v>17</v>
      </c>
      <c r="C123">
        <v>1</v>
      </c>
      <c r="D123">
        <v>7</v>
      </c>
      <c r="E123">
        <v>4</v>
      </c>
      <c r="G123">
        <v>1</v>
      </c>
    </row>
    <row r="124" spans="1:9" x14ac:dyDescent="0.35">
      <c r="A124" t="s">
        <v>12</v>
      </c>
      <c r="B124" t="s">
        <v>16</v>
      </c>
      <c r="C124">
        <v>1</v>
      </c>
      <c r="D124">
        <v>0</v>
      </c>
      <c r="E124">
        <v>4</v>
      </c>
      <c r="F124">
        <v>1</v>
      </c>
    </row>
    <row r="125" spans="1:9" x14ac:dyDescent="0.35">
      <c r="A125" t="s">
        <v>12</v>
      </c>
      <c r="B125" t="s">
        <v>17</v>
      </c>
      <c r="C125">
        <v>1</v>
      </c>
      <c r="D125">
        <v>6</v>
      </c>
      <c r="E125">
        <v>1.9777777777777701</v>
      </c>
      <c r="G125">
        <v>1</v>
      </c>
    </row>
    <row r="126" spans="1:9" x14ac:dyDescent="0.35">
      <c r="A126" t="s">
        <v>12</v>
      </c>
      <c r="B126" t="s">
        <v>16</v>
      </c>
      <c r="C126">
        <v>0</v>
      </c>
      <c r="D126">
        <v>2</v>
      </c>
      <c r="E126">
        <v>3.9925925925925898</v>
      </c>
      <c r="H126">
        <v>1</v>
      </c>
    </row>
    <row r="127" spans="1:9" x14ac:dyDescent="0.35">
      <c r="A127" t="s">
        <v>12</v>
      </c>
      <c r="B127" t="s">
        <v>17</v>
      </c>
      <c r="C127">
        <v>1</v>
      </c>
      <c r="D127">
        <v>7</v>
      </c>
      <c r="E127">
        <v>1.0407407407407401</v>
      </c>
      <c r="G127">
        <v>1</v>
      </c>
    </row>
    <row r="128" spans="1:9" x14ac:dyDescent="0.35">
      <c r="A128" t="s">
        <v>12</v>
      </c>
      <c r="B128" t="s">
        <v>17</v>
      </c>
      <c r="C128">
        <v>0</v>
      </c>
      <c r="D128">
        <v>0</v>
      </c>
      <c r="E128">
        <v>1.9851851851851801</v>
      </c>
      <c r="I128">
        <v>1</v>
      </c>
    </row>
    <row r="129" spans="1:9" x14ac:dyDescent="0.35">
      <c r="A129" t="s">
        <v>12</v>
      </c>
      <c r="B129" t="s">
        <v>17</v>
      </c>
      <c r="C129">
        <v>0</v>
      </c>
      <c r="D129">
        <v>0</v>
      </c>
      <c r="E129">
        <v>2.9962962962962898</v>
      </c>
      <c r="I129">
        <v>1</v>
      </c>
    </row>
    <row r="130" spans="1:9" x14ac:dyDescent="0.35">
      <c r="A130" t="s">
        <v>12</v>
      </c>
      <c r="B130" t="s">
        <v>17</v>
      </c>
      <c r="C130">
        <v>0</v>
      </c>
      <c r="D130">
        <v>0</v>
      </c>
      <c r="E130">
        <v>2.9851851851851801</v>
      </c>
      <c r="I130">
        <v>1</v>
      </c>
    </row>
    <row r="131" spans="1:9" x14ac:dyDescent="0.35">
      <c r="A131" t="s">
        <v>12</v>
      </c>
      <c r="B131" t="s">
        <v>17</v>
      </c>
      <c r="C131">
        <v>1</v>
      </c>
      <c r="D131">
        <v>0</v>
      </c>
      <c r="E131">
        <v>3</v>
      </c>
      <c r="F131">
        <v>1</v>
      </c>
    </row>
    <row r="132" spans="1:9" x14ac:dyDescent="0.35">
      <c r="A132" t="s">
        <v>12</v>
      </c>
      <c r="B132" t="s">
        <v>16</v>
      </c>
      <c r="C132">
        <v>1</v>
      </c>
      <c r="D132">
        <v>0</v>
      </c>
      <c r="E132">
        <v>3.0074074074074</v>
      </c>
      <c r="F132">
        <v>1</v>
      </c>
    </row>
    <row r="133" spans="1:9" x14ac:dyDescent="0.35">
      <c r="A133" t="s">
        <v>12</v>
      </c>
      <c r="B133" t="s">
        <v>17</v>
      </c>
      <c r="C133">
        <v>1</v>
      </c>
      <c r="D133">
        <v>-6</v>
      </c>
      <c r="E133">
        <v>3.0037037037037</v>
      </c>
      <c r="G133">
        <v>1</v>
      </c>
    </row>
    <row r="134" spans="1:9" x14ac:dyDescent="0.35">
      <c r="A134" t="s">
        <v>12</v>
      </c>
      <c r="B134" t="s">
        <v>16</v>
      </c>
      <c r="C134">
        <v>1</v>
      </c>
      <c r="D134">
        <v>0</v>
      </c>
      <c r="E134">
        <v>3.9962962962962898</v>
      </c>
      <c r="F134">
        <v>1</v>
      </c>
    </row>
    <row r="135" spans="1:9" x14ac:dyDescent="0.35">
      <c r="A135" t="s">
        <v>8</v>
      </c>
      <c r="B135" t="s">
        <v>17</v>
      </c>
      <c r="C135">
        <v>1</v>
      </c>
      <c r="D135">
        <v>2</v>
      </c>
      <c r="E135">
        <v>4.7666666666666604</v>
      </c>
      <c r="G135">
        <v>1</v>
      </c>
    </row>
    <row r="136" spans="1:9" x14ac:dyDescent="0.35">
      <c r="A136" t="s">
        <v>8</v>
      </c>
      <c r="B136" t="s">
        <v>17</v>
      </c>
      <c r="C136">
        <v>1</v>
      </c>
      <c r="D136">
        <v>6</v>
      </c>
      <c r="E136">
        <v>4.9851851851851796</v>
      </c>
      <c r="G136">
        <v>1</v>
      </c>
    </row>
    <row r="137" spans="1:9" x14ac:dyDescent="0.35">
      <c r="A137" t="s">
        <v>8</v>
      </c>
      <c r="B137" t="s">
        <v>17</v>
      </c>
      <c r="C137">
        <v>1</v>
      </c>
      <c r="D137">
        <v>-4</v>
      </c>
      <c r="E137">
        <v>3.9814814814814801</v>
      </c>
      <c r="G137">
        <v>1</v>
      </c>
    </row>
    <row r="138" spans="1:9" x14ac:dyDescent="0.35">
      <c r="A138" t="s">
        <v>8</v>
      </c>
      <c r="B138" t="s">
        <v>17</v>
      </c>
      <c r="C138">
        <v>1</v>
      </c>
      <c r="D138">
        <v>-9</v>
      </c>
      <c r="E138">
        <v>2.9925925925925898</v>
      </c>
      <c r="G138">
        <v>1</v>
      </c>
    </row>
    <row r="139" spans="1:9" x14ac:dyDescent="0.35">
      <c r="A139" t="s">
        <v>8</v>
      </c>
      <c r="B139" t="s">
        <v>16</v>
      </c>
      <c r="C139">
        <v>1</v>
      </c>
      <c r="D139">
        <v>0</v>
      </c>
      <c r="E139">
        <v>2.9962962962962898</v>
      </c>
      <c r="F139">
        <v>1</v>
      </c>
    </row>
    <row r="140" spans="1:9" x14ac:dyDescent="0.35">
      <c r="A140" t="s">
        <v>8</v>
      </c>
      <c r="B140" t="s">
        <v>17</v>
      </c>
      <c r="C140">
        <v>1</v>
      </c>
      <c r="D140">
        <v>6</v>
      </c>
      <c r="E140">
        <v>2.9777777777777699</v>
      </c>
      <c r="G140">
        <v>1</v>
      </c>
    </row>
    <row r="141" spans="1:9" x14ac:dyDescent="0.35">
      <c r="A141" t="s">
        <v>8</v>
      </c>
      <c r="B141" t="s">
        <v>17</v>
      </c>
      <c r="C141">
        <v>1</v>
      </c>
      <c r="D141">
        <v>-3</v>
      </c>
      <c r="E141">
        <v>2.9777777777777699</v>
      </c>
      <c r="G141">
        <v>1</v>
      </c>
    </row>
    <row r="142" spans="1:9" x14ac:dyDescent="0.35">
      <c r="A142" t="s">
        <v>8</v>
      </c>
      <c r="B142" t="s">
        <v>16</v>
      </c>
      <c r="C142">
        <v>1</v>
      </c>
      <c r="D142">
        <v>0</v>
      </c>
      <c r="E142">
        <v>3.9666666666666601</v>
      </c>
      <c r="F142">
        <v>1</v>
      </c>
    </row>
    <row r="143" spans="1:9" x14ac:dyDescent="0.35">
      <c r="A143" t="s">
        <v>8</v>
      </c>
      <c r="B143" t="s">
        <v>17</v>
      </c>
      <c r="C143">
        <v>0</v>
      </c>
      <c r="D143">
        <v>0</v>
      </c>
      <c r="E143">
        <v>3.0111111111111102</v>
      </c>
      <c r="I143">
        <v>1</v>
      </c>
    </row>
    <row r="144" spans="1:9" x14ac:dyDescent="0.35">
      <c r="A144" t="s">
        <v>8</v>
      </c>
      <c r="B144" t="s">
        <v>17</v>
      </c>
      <c r="C144">
        <v>1</v>
      </c>
      <c r="D144">
        <v>-8</v>
      </c>
      <c r="E144">
        <v>4.0037037037037004</v>
      </c>
      <c r="G144">
        <v>1</v>
      </c>
    </row>
    <row r="145" spans="1:9" x14ac:dyDescent="0.35">
      <c r="A145" t="s">
        <v>8</v>
      </c>
      <c r="B145" t="s">
        <v>16</v>
      </c>
      <c r="C145">
        <v>1</v>
      </c>
      <c r="D145">
        <v>0</v>
      </c>
      <c r="E145">
        <v>2.9962962962962898</v>
      </c>
      <c r="F145">
        <v>1</v>
      </c>
    </row>
    <row r="146" spans="1:9" x14ac:dyDescent="0.35">
      <c r="A146" t="s">
        <v>1</v>
      </c>
      <c r="B146" t="s">
        <v>16</v>
      </c>
      <c r="C146">
        <v>1</v>
      </c>
      <c r="D146">
        <v>0</v>
      </c>
      <c r="E146">
        <v>3.48888888888888</v>
      </c>
      <c r="F146">
        <v>1</v>
      </c>
    </row>
    <row r="147" spans="1:9" x14ac:dyDescent="0.35">
      <c r="A147" t="s">
        <v>1</v>
      </c>
      <c r="B147" t="s">
        <v>16</v>
      </c>
      <c r="C147">
        <v>0</v>
      </c>
      <c r="D147">
        <v>4</v>
      </c>
      <c r="E147">
        <v>3.9925925925925898</v>
      </c>
      <c r="H147">
        <v>1</v>
      </c>
    </row>
    <row r="148" spans="1:9" x14ac:dyDescent="0.35">
      <c r="A148" t="s">
        <v>1</v>
      </c>
      <c r="B148" t="s">
        <v>16</v>
      </c>
      <c r="C148">
        <v>0</v>
      </c>
      <c r="D148">
        <v>8</v>
      </c>
      <c r="E148">
        <v>4.9814814814814801</v>
      </c>
      <c r="H148">
        <v>1</v>
      </c>
    </row>
    <row r="149" spans="1:9" x14ac:dyDescent="0.35">
      <c r="A149" t="s">
        <v>1</v>
      </c>
      <c r="B149" t="s">
        <v>16</v>
      </c>
      <c r="C149">
        <v>0</v>
      </c>
      <c r="D149">
        <v>-9</v>
      </c>
      <c r="E149">
        <v>2.9740740740740699</v>
      </c>
      <c r="H149">
        <v>1</v>
      </c>
    </row>
    <row r="150" spans="1:9" x14ac:dyDescent="0.35">
      <c r="A150" t="s">
        <v>1</v>
      </c>
      <c r="B150" t="s">
        <v>17</v>
      </c>
      <c r="C150">
        <v>1</v>
      </c>
      <c r="D150">
        <v>3</v>
      </c>
      <c r="E150">
        <v>4.0037037037037004</v>
      </c>
      <c r="G150">
        <v>1</v>
      </c>
    </row>
    <row r="151" spans="1:9" x14ac:dyDescent="0.35">
      <c r="A151" t="s">
        <v>1</v>
      </c>
      <c r="B151" t="s">
        <v>17</v>
      </c>
      <c r="C151">
        <v>1</v>
      </c>
      <c r="D151">
        <v>5</v>
      </c>
      <c r="E151">
        <v>3.0111111111111102</v>
      </c>
      <c r="G151">
        <v>1</v>
      </c>
    </row>
    <row r="152" spans="1:9" x14ac:dyDescent="0.35">
      <c r="A152" t="s">
        <v>1</v>
      </c>
      <c r="B152" t="s">
        <v>17</v>
      </c>
      <c r="C152">
        <v>1</v>
      </c>
      <c r="D152">
        <v>-10</v>
      </c>
      <c r="E152">
        <v>2.9962962962962898</v>
      </c>
      <c r="G152">
        <v>1</v>
      </c>
    </row>
    <row r="153" spans="1:9" x14ac:dyDescent="0.35">
      <c r="A153" t="s">
        <v>1</v>
      </c>
      <c r="B153" t="s">
        <v>17</v>
      </c>
      <c r="C153">
        <v>1</v>
      </c>
      <c r="D153">
        <v>-4</v>
      </c>
      <c r="E153">
        <v>3.0148148148148102</v>
      </c>
      <c r="G153">
        <v>1</v>
      </c>
    </row>
    <row r="154" spans="1:9" x14ac:dyDescent="0.35">
      <c r="A154" t="s">
        <v>1</v>
      </c>
      <c r="B154" t="s">
        <v>16</v>
      </c>
      <c r="C154">
        <v>1</v>
      </c>
      <c r="D154">
        <v>0</v>
      </c>
      <c r="E154">
        <v>3.98888888888888</v>
      </c>
      <c r="F154">
        <v>1</v>
      </c>
    </row>
    <row r="155" spans="1:9" x14ac:dyDescent="0.35">
      <c r="A155" t="s">
        <v>1</v>
      </c>
      <c r="B155" t="s">
        <v>16</v>
      </c>
      <c r="C155">
        <v>1</v>
      </c>
      <c r="D155">
        <v>0</v>
      </c>
      <c r="E155">
        <v>4.0259259259259199</v>
      </c>
      <c r="F155">
        <v>1</v>
      </c>
    </row>
    <row r="156" spans="1:9" x14ac:dyDescent="0.35">
      <c r="A156" t="s">
        <v>1</v>
      </c>
      <c r="B156" t="s">
        <v>16</v>
      </c>
      <c r="C156">
        <v>1</v>
      </c>
      <c r="D156">
        <v>0</v>
      </c>
      <c r="E156">
        <v>3.9777777777777699</v>
      </c>
      <c r="F156">
        <v>1</v>
      </c>
    </row>
    <row r="157" spans="1:9" x14ac:dyDescent="0.35">
      <c r="E157" t="s">
        <v>25</v>
      </c>
      <c r="F157">
        <f>SUM(F80:F156)</f>
        <v>21</v>
      </c>
      <c r="G157">
        <f t="shared" ref="G157:I157" si="1">SUM(G80:G156)</f>
        <v>28</v>
      </c>
      <c r="H157">
        <f t="shared" si="1"/>
        <v>12</v>
      </c>
      <c r="I157">
        <f t="shared" si="1"/>
        <v>16</v>
      </c>
    </row>
    <row r="159" spans="1:9" x14ac:dyDescent="0.35">
      <c r="E159" t="s">
        <v>26</v>
      </c>
      <c r="F159">
        <f>F157/(F157+I157)</f>
        <v>0.56756756756756754</v>
      </c>
    </row>
    <row r="160" spans="1:9" x14ac:dyDescent="0.35">
      <c r="E160" t="s">
        <v>27</v>
      </c>
      <c r="F160">
        <f>H157/(H157+G157)</f>
        <v>0.3</v>
      </c>
    </row>
    <row r="162" spans="5:6" x14ac:dyDescent="0.35">
      <c r="E162" t="s">
        <v>28</v>
      </c>
      <c r="F162">
        <f>NORMSINV(F159)-NORMSINV(F160)</f>
        <v>0.69458523682040996</v>
      </c>
    </row>
    <row r="164" spans="5:6" x14ac:dyDescent="0.35">
      <c r="E164" t="s">
        <v>35</v>
      </c>
      <c r="F164">
        <f>AVERAGE(C80:C156,1,E80:E157)</f>
        <v>1.9634647550776561</v>
      </c>
    </row>
    <row r="165" spans="5:6" x14ac:dyDescent="0.35">
      <c r="E165" t="s">
        <v>30</v>
      </c>
      <c r="F165">
        <f>AVERAGE(C81:C157,0,E81:E156)</f>
        <v>1.9532558702493321</v>
      </c>
    </row>
    <row r="167" spans="5:6" x14ac:dyDescent="0.35">
      <c r="E167" t="s">
        <v>36</v>
      </c>
      <c r="F167">
        <f>F164-F165</f>
        <v>1.0208884828323939E-2</v>
      </c>
    </row>
    <row r="168" spans="5:6" x14ac:dyDescent="0.35">
      <c r="E168" t="s">
        <v>37</v>
      </c>
      <c r="F168">
        <f>F167/F162</f>
        <v>1.4697814302902497E-2</v>
      </c>
    </row>
  </sheetData>
  <sortState xmlns:xlrd2="http://schemas.microsoft.com/office/spreadsheetml/2017/richdata2" ref="A1:I157">
    <sortCondition ref="A1:A1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9DD3-E58E-4BF6-B0AB-77F768C2162F}">
  <dimension ref="A1:U168"/>
  <sheetViews>
    <sheetView topLeftCell="A151" workbookViewId="0">
      <selection activeCell="F168" sqref="F168"/>
    </sheetView>
  </sheetViews>
  <sheetFormatPr defaultRowHeight="14.5" x14ac:dyDescent="0.35"/>
  <cols>
    <col min="1" max="1" width="20" customWidth="1"/>
    <col min="5" max="5" width="16" customWidth="1"/>
    <col min="20" max="20" width="11.453125" customWidth="1"/>
  </cols>
  <sheetData>
    <row r="1" spans="1:9" x14ac:dyDescent="0.35">
      <c r="A1" t="s">
        <v>24</v>
      </c>
      <c r="B1" t="s">
        <v>14</v>
      </c>
      <c r="C1" t="s">
        <v>15</v>
      </c>
      <c r="D1" t="s">
        <v>23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 t="s">
        <v>4</v>
      </c>
      <c r="B2" t="s">
        <v>16</v>
      </c>
      <c r="C2">
        <v>0</v>
      </c>
      <c r="D2">
        <v>2</v>
      </c>
      <c r="E2">
        <v>5</v>
      </c>
      <c r="H2">
        <v>1</v>
      </c>
    </row>
    <row r="3" spans="1:9" x14ac:dyDescent="0.35">
      <c r="A3" t="s">
        <v>4</v>
      </c>
      <c r="B3" t="s">
        <v>17</v>
      </c>
      <c r="C3">
        <v>1</v>
      </c>
      <c r="D3">
        <v>6</v>
      </c>
      <c r="E3">
        <v>5</v>
      </c>
      <c r="G3">
        <v>1</v>
      </c>
    </row>
    <row r="4" spans="1:9" x14ac:dyDescent="0.35">
      <c r="A4" t="s">
        <v>4</v>
      </c>
      <c r="B4" t="s">
        <v>17</v>
      </c>
      <c r="C4">
        <v>1</v>
      </c>
      <c r="D4">
        <v>1</v>
      </c>
      <c r="E4">
        <v>5</v>
      </c>
      <c r="G4">
        <v>1</v>
      </c>
    </row>
    <row r="5" spans="1:9" x14ac:dyDescent="0.35">
      <c r="A5" t="s">
        <v>4</v>
      </c>
      <c r="B5" t="s">
        <v>16</v>
      </c>
      <c r="C5">
        <v>1</v>
      </c>
      <c r="D5">
        <v>0</v>
      </c>
      <c r="E5">
        <v>5</v>
      </c>
      <c r="F5">
        <v>1</v>
      </c>
    </row>
    <row r="6" spans="1:9" x14ac:dyDescent="0.35">
      <c r="A6" t="s">
        <v>4</v>
      </c>
      <c r="B6" t="s">
        <v>16</v>
      </c>
      <c r="C6">
        <v>0</v>
      </c>
      <c r="D6">
        <v>-1</v>
      </c>
      <c r="E6">
        <v>5</v>
      </c>
      <c r="H6">
        <v>1</v>
      </c>
    </row>
    <row r="7" spans="1:9" x14ac:dyDescent="0.35">
      <c r="A7" t="s">
        <v>4</v>
      </c>
      <c r="B7" t="s">
        <v>16</v>
      </c>
      <c r="C7">
        <v>1</v>
      </c>
      <c r="D7">
        <v>0</v>
      </c>
      <c r="E7">
        <v>3.9925925925925898</v>
      </c>
      <c r="F7">
        <v>1</v>
      </c>
    </row>
    <row r="8" spans="1:9" x14ac:dyDescent="0.35">
      <c r="A8" t="s">
        <v>4</v>
      </c>
      <c r="B8" t="s">
        <v>17</v>
      </c>
      <c r="C8">
        <v>0</v>
      </c>
      <c r="D8">
        <v>0</v>
      </c>
      <c r="E8">
        <v>5</v>
      </c>
      <c r="I8">
        <v>1</v>
      </c>
    </row>
    <row r="9" spans="1:9" x14ac:dyDescent="0.35">
      <c r="A9" t="s">
        <v>4</v>
      </c>
      <c r="B9" t="s">
        <v>17</v>
      </c>
      <c r="C9">
        <v>1</v>
      </c>
      <c r="D9">
        <v>4</v>
      </c>
      <c r="E9">
        <v>5</v>
      </c>
      <c r="G9">
        <v>1</v>
      </c>
    </row>
    <row r="10" spans="1:9" x14ac:dyDescent="0.35">
      <c r="A10" t="s">
        <v>4</v>
      </c>
      <c r="B10" t="s">
        <v>17</v>
      </c>
      <c r="C10">
        <v>1</v>
      </c>
      <c r="D10">
        <v>7</v>
      </c>
      <c r="E10">
        <v>5</v>
      </c>
      <c r="G10">
        <v>1</v>
      </c>
    </row>
    <row r="11" spans="1:9" x14ac:dyDescent="0.35">
      <c r="A11" t="s">
        <v>4</v>
      </c>
      <c r="B11" t="s">
        <v>17</v>
      </c>
      <c r="C11">
        <v>0</v>
      </c>
      <c r="D11">
        <v>0</v>
      </c>
      <c r="E11">
        <v>5</v>
      </c>
      <c r="I11">
        <v>1</v>
      </c>
    </row>
    <row r="12" spans="1:9" x14ac:dyDescent="0.35">
      <c r="A12" t="s">
        <v>4</v>
      </c>
      <c r="B12" t="s">
        <v>17</v>
      </c>
      <c r="C12">
        <v>0</v>
      </c>
      <c r="D12">
        <v>0</v>
      </c>
      <c r="E12">
        <v>5</v>
      </c>
      <c r="I12">
        <v>1</v>
      </c>
    </row>
    <row r="13" spans="1:9" x14ac:dyDescent="0.35">
      <c r="A13" t="s">
        <v>0</v>
      </c>
      <c r="B13" t="s">
        <v>16</v>
      </c>
      <c r="C13">
        <v>0</v>
      </c>
      <c r="D13">
        <v>2</v>
      </c>
      <c r="E13">
        <v>5</v>
      </c>
      <c r="H13">
        <v>1</v>
      </c>
    </row>
    <row r="14" spans="1:9" x14ac:dyDescent="0.35">
      <c r="A14" t="s">
        <v>0</v>
      </c>
      <c r="B14" t="s">
        <v>17</v>
      </c>
      <c r="C14">
        <v>1</v>
      </c>
      <c r="D14">
        <v>-5</v>
      </c>
      <c r="E14">
        <v>4.9777777777777699</v>
      </c>
      <c r="G14">
        <v>1</v>
      </c>
    </row>
    <row r="15" spans="1:9" x14ac:dyDescent="0.35">
      <c r="A15" t="s">
        <v>0</v>
      </c>
      <c r="B15" t="s">
        <v>16</v>
      </c>
      <c r="C15">
        <v>0</v>
      </c>
      <c r="D15">
        <v>-5</v>
      </c>
      <c r="E15">
        <v>3.8555555555555499</v>
      </c>
      <c r="H15">
        <v>1</v>
      </c>
    </row>
    <row r="16" spans="1:9" x14ac:dyDescent="0.35">
      <c r="A16" t="s">
        <v>0</v>
      </c>
      <c r="B16" t="s">
        <v>17</v>
      </c>
      <c r="C16">
        <v>0</v>
      </c>
      <c r="D16">
        <v>0</v>
      </c>
      <c r="E16">
        <v>5</v>
      </c>
      <c r="I16">
        <v>1</v>
      </c>
    </row>
    <row r="17" spans="1:9" x14ac:dyDescent="0.35">
      <c r="A17" t="s">
        <v>0</v>
      </c>
      <c r="B17" t="s">
        <v>17</v>
      </c>
      <c r="C17">
        <v>1</v>
      </c>
      <c r="D17">
        <v>5</v>
      </c>
      <c r="E17">
        <v>5</v>
      </c>
      <c r="G17">
        <v>1</v>
      </c>
    </row>
    <row r="18" spans="1:9" x14ac:dyDescent="0.35">
      <c r="A18" t="s">
        <v>0</v>
      </c>
      <c r="B18" t="s">
        <v>16</v>
      </c>
      <c r="C18">
        <v>1</v>
      </c>
      <c r="D18">
        <v>0</v>
      </c>
      <c r="E18">
        <v>5</v>
      </c>
      <c r="F18">
        <v>1</v>
      </c>
    </row>
    <row r="19" spans="1:9" x14ac:dyDescent="0.35">
      <c r="A19" t="s">
        <v>0</v>
      </c>
      <c r="B19" t="s">
        <v>17</v>
      </c>
      <c r="C19">
        <v>1</v>
      </c>
      <c r="D19">
        <v>-4</v>
      </c>
      <c r="E19">
        <v>5</v>
      </c>
      <c r="G19">
        <v>1</v>
      </c>
    </row>
    <row r="20" spans="1:9" x14ac:dyDescent="0.35">
      <c r="A20" t="s">
        <v>0</v>
      </c>
      <c r="B20" t="s">
        <v>16</v>
      </c>
      <c r="C20">
        <v>1</v>
      </c>
      <c r="D20">
        <v>0</v>
      </c>
      <c r="E20">
        <v>5</v>
      </c>
      <c r="F20">
        <v>1</v>
      </c>
    </row>
    <row r="21" spans="1:9" x14ac:dyDescent="0.35">
      <c r="A21" t="s">
        <v>0</v>
      </c>
      <c r="B21" t="s">
        <v>17</v>
      </c>
      <c r="C21">
        <v>0</v>
      </c>
      <c r="D21">
        <v>0</v>
      </c>
      <c r="E21">
        <v>5</v>
      </c>
      <c r="I21">
        <v>1</v>
      </c>
    </row>
    <row r="22" spans="1:9" x14ac:dyDescent="0.35">
      <c r="A22" t="s">
        <v>0</v>
      </c>
      <c r="B22" t="s">
        <v>17</v>
      </c>
      <c r="C22">
        <v>1</v>
      </c>
      <c r="D22">
        <v>-10</v>
      </c>
      <c r="E22">
        <v>5</v>
      </c>
      <c r="G22">
        <v>1</v>
      </c>
    </row>
    <row r="23" spans="1:9" x14ac:dyDescent="0.35">
      <c r="A23" t="s">
        <v>0</v>
      </c>
      <c r="B23" t="s">
        <v>16</v>
      </c>
      <c r="C23">
        <v>1</v>
      </c>
      <c r="D23">
        <v>0</v>
      </c>
      <c r="E23">
        <v>5</v>
      </c>
      <c r="F23">
        <v>1</v>
      </c>
    </row>
    <row r="24" spans="1:9" x14ac:dyDescent="0.35">
      <c r="A24" t="s">
        <v>10</v>
      </c>
      <c r="B24" t="s">
        <v>16</v>
      </c>
      <c r="C24">
        <v>1</v>
      </c>
      <c r="D24">
        <v>0</v>
      </c>
      <c r="E24">
        <v>5</v>
      </c>
      <c r="F24">
        <v>1</v>
      </c>
    </row>
    <row r="25" spans="1:9" x14ac:dyDescent="0.35">
      <c r="A25" t="s">
        <v>10</v>
      </c>
      <c r="B25" t="s">
        <v>16</v>
      </c>
      <c r="C25">
        <v>1</v>
      </c>
      <c r="D25">
        <v>0</v>
      </c>
      <c r="E25">
        <v>5</v>
      </c>
      <c r="F25">
        <v>1</v>
      </c>
    </row>
    <row r="26" spans="1:9" x14ac:dyDescent="0.35">
      <c r="A26" t="s">
        <v>10</v>
      </c>
      <c r="B26" t="s">
        <v>16</v>
      </c>
      <c r="C26">
        <v>1</v>
      </c>
      <c r="D26">
        <v>0</v>
      </c>
      <c r="E26">
        <v>5</v>
      </c>
      <c r="F26">
        <v>1</v>
      </c>
    </row>
    <row r="27" spans="1:9" x14ac:dyDescent="0.35">
      <c r="A27" t="s">
        <v>10</v>
      </c>
      <c r="B27" t="s">
        <v>16</v>
      </c>
      <c r="C27">
        <v>0</v>
      </c>
      <c r="D27">
        <v>9</v>
      </c>
      <c r="E27">
        <v>5</v>
      </c>
      <c r="H27">
        <v>1</v>
      </c>
    </row>
    <row r="28" spans="1:9" x14ac:dyDescent="0.35">
      <c r="A28" t="s">
        <v>10</v>
      </c>
      <c r="B28" t="s">
        <v>16</v>
      </c>
      <c r="C28">
        <v>1</v>
      </c>
      <c r="D28">
        <v>0</v>
      </c>
      <c r="E28">
        <v>4.0259259259259199</v>
      </c>
      <c r="F28">
        <v>1</v>
      </c>
    </row>
    <row r="29" spans="1:9" x14ac:dyDescent="0.35">
      <c r="A29" t="s">
        <v>10</v>
      </c>
      <c r="B29" t="s">
        <v>16</v>
      </c>
      <c r="C29">
        <v>1</v>
      </c>
      <c r="D29">
        <v>0</v>
      </c>
      <c r="E29">
        <v>5</v>
      </c>
      <c r="F29">
        <v>1</v>
      </c>
    </row>
    <row r="30" spans="1:9" x14ac:dyDescent="0.35">
      <c r="A30" t="s">
        <v>10</v>
      </c>
      <c r="B30" t="s">
        <v>17</v>
      </c>
      <c r="C30">
        <v>1</v>
      </c>
      <c r="D30">
        <v>-6</v>
      </c>
      <c r="E30">
        <v>5</v>
      </c>
      <c r="G30">
        <v>1</v>
      </c>
    </row>
    <row r="31" spans="1:9" x14ac:dyDescent="0.35">
      <c r="A31" t="s">
        <v>10</v>
      </c>
      <c r="B31" t="s">
        <v>17</v>
      </c>
      <c r="C31">
        <v>0</v>
      </c>
      <c r="D31">
        <v>0</v>
      </c>
      <c r="E31">
        <v>5</v>
      </c>
      <c r="I31">
        <v>1</v>
      </c>
    </row>
    <row r="32" spans="1:9" x14ac:dyDescent="0.35">
      <c r="A32" t="s">
        <v>10</v>
      </c>
      <c r="B32" t="s">
        <v>17</v>
      </c>
      <c r="C32">
        <v>1</v>
      </c>
      <c r="D32">
        <v>-10</v>
      </c>
      <c r="E32">
        <v>5</v>
      </c>
      <c r="G32">
        <v>1</v>
      </c>
    </row>
    <row r="33" spans="1:9" x14ac:dyDescent="0.35">
      <c r="A33" t="s">
        <v>10</v>
      </c>
      <c r="B33" t="s">
        <v>16</v>
      </c>
      <c r="C33">
        <v>1</v>
      </c>
      <c r="D33">
        <v>0</v>
      </c>
      <c r="E33">
        <v>5</v>
      </c>
      <c r="F33">
        <v>1</v>
      </c>
    </row>
    <row r="34" spans="1:9" x14ac:dyDescent="0.35">
      <c r="A34" t="s">
        <v>10</v>
      </c>
      <c r="B34" t="s">
        <v>17</v>
      </c>
      <c r="C34">
        <v>0</v>
      </c>
      <c r="D34">
        <v>0</v>
      </c>
      <c r="E34">
        <v>5</v>
      </c>
      <c r="I34">
        <v>1</v>
      </c>
    </row>
    <row r="35" spans="1:9" x14ac:dyDescent="0.35">
      <c r="A35" t="s">
        <v>2</v>
      </c>
      <c r="B35" t="s">
        <v>17</v>
      </c>
      <c r="C35">
        <v>1</v>
      </c>
      <c r="D35">
        <v>4</v>
      </c>
      <c r="E35">
        <v>3.9666666666666601</v>
      </c>
      <c r="G35">
        <v>1</v>
      </c>
    </row>
    <row r="36" spans="1:9" x14ac:dyDescent="0.35">
      <c r="A36" t="s">
        <v>2</v>
      </c>
      <c r="B36" t="s">
        <v>16</v>
      </c>
      <c r="C36">
        <v>1</v>
      </c>
      <c r="D36">
        <v>0</v>
      </c>
      <c r="E36">
        <v>5</v>
      </c>
      <c r="F36">
        <v>1</v>
      </c>
    </row>
    <row r="37" spans="1:9" x14ac:dyDescent="0.35">
      <c r="A37" t="s">
        <v>2</v>
      </c>
      <c r="B37" t="s">
        <v>16</v>
      </c>
      <c r="C37">
        <v>1</v>
      </c>
      <c r="D37">
        <v>0</v>
      </c>
      <c r="E37">
        <v>4.8888888888888804</v>
      </c>
      <c r="F37">
        <v>1</v>
      </c>
    </row>
    <row r="38" spans="1:9" x14ac:dyDescent="0.35">
      <c r="A38" t="s">
        <v>2</v>
      </c>
      <c r="B38" t="s">
        <v>16</v>
      </c>
      <c r="C38">
        <v>1</v>
      </c>
      <c r="D38">
        <v>0</v>
      </c>
      <c r="E38">
        <v>5</v>
      </c>
      <c r="F38">
        <v>1</v>
      </c>
    </row>
    <row r="39" spans="1:9" x14ac:dyDescent="0.35">
      <c r="A39" t="s">
        <v>2</v>
      </c>
      <c r="B39" t="s">
        <v>17</v>
      </c>
      <c r="C39">
        <v>1</v>
      </c>
      <c r="D39">
        <v>6</v>
      </c>
      <c r="E39">
        <v>4.0148148148148097</v>
      </c>
      <c r="G39">
        <v>1</v>
      </c>
    </row>
    <row r="40" spans="1:9" x14ac:dyDescent="0.35">
      <c r="A40" t="s">
        <v>2</v>
      </c>
      <c r="B40" t="s">
        <v>17</v>
      </c>
      <c r="C40">
        <v>1</v>
      </c>
      <c r="D40">
        <v>-10</v>
      </c>
      <c r="E40">
        <v>5</v>
      </c>
      <c r="G40">
        <v>1</v>
      </c>
    </row>
    <row r="41" spans="1:9" x14ac:dyDescent="0.35">
      <c r="A41" t="s">
        <v>2</v>
      </c>
      <c r="B41" t="s">
        <v>16</v>
      </c>
      <c r="C41">
        <v>1</v>
      </c>
      <c r="D41">
        <v>0</v>
      </c>
      <c r="E41">
        <v>5</v>
      </c>
      <c r="F41">
        <v>1</v>
      </c>
    </row>
    <row r="42" spans="1:9" x14ac:dyDescent="0.35">
      <c r="A42" t="s">
        <v>2</v>
      </c>
      <c r="B42" t="s">
        <v>17</v>
      </c>
      <c r="C42">
        <v>1</v>
      </c>
      <c r="D42">
        <v>-3</v>
      </c>
      <c r="E42">
        <v>5</v>
      </c>
      <c r="G42">
        <v>1</v>
      </c>
    </row>
    <row r="43" spans="1:9" x14ac:dyDescent="0.35">
      <c r="A43" t="s">
        <v>2</v>
      </c>
      <c r="B43" t="s">
        <v>17</v>
      </c>
      <c r="C43">
        <v>1</v>
      </c>
      <c r="D43">
        <v>3</v>
      </c>
      <c r="E43">
        <v>5</v>
      </c>
      <c r="G43">
        <v>1</v>
      </c>
    </row>
    <row r="44" spans="1:9" x14ac:dyDescent="0.35">
      <c r="A44" t="s">
        <v>2</v>
      </c>
      <c r="B44" t="s">
        <v>16</v>
      </c>
      <c r="C44">
        <v>0</v>
      </c>
      <c r="D44">
        <v>3</v>
      </c>
      <c r="E44">
        <v>5</v>
      </c>
      <c r="H44">
        <v>1</v>
      </c>
    </row>
    <row r="45" spans="1:9" x14ac:dyDescent="0.35">
      <c r="A45" t="s">
        <v>2</v>
      </c>
      <c r="B45" t="s">
        <v>16</v>
      </c>
      <c r="C45">
        <v>1</v>
      </c>
      <c r="D45">
        <v>0</v>
      </c>
      <c r="E45">
        <v>5</v>
      </c>
      <c r="F45">
        <v>1</v>
      </c>
    </row>
    <row r="46" spans="1:9" x14ac:dyDescent="0.35">
      <c r="A46" t="s">
        <v>5</v>
      </c>
      <c r="B46" t="s">
        <v>17</v>
      </c>
      <c r="C46">
        <v>0</v>
      </c>
      <c r="D46">
        <v>0</v>
      </c>
      <c r="E46">
        <v>5</v>
      </c>
      <c r="I46">
        <v>1</v>
      </c>
    </row>
    <row r="47" spans="1:9" x14ac:dyDescent="0.35">
      <c r="A47" t="s">
        <v>5</v>
      </c>
      <c r="B47" t="s">
        <v>17</v>
      </c>
      <c r="C47">
        <v>1</v>
      </c>
      <c r="D47">
        <v>5</v>
      </c>
      <c r="E47">
        <v>5</v>
      </c>
      <c r="G47">
        <v>1</v>
      </c>
    </row>
    <row r="48" spans="1:9" x14ac:dyDescent="0.35">
      <c r="A48" t="s">
        <v>5</v>
      </c>
      <c r="B48" t="s">
        <v>16</v>
      </c>
      <c r="C48">
        <v>1</v>
      </c>
      <c r="D48">
        <v>0</v>
      </c>
      <c r="E48">
        <v>4.0185185185185102</v>
      </c>
      <c r="F48">
        <v>1</v>
      </c>
    </row>
    <row r="49" spans="1:9" x14ac:dyDescent="0.35">
      <c r="A49" t="s">
        <v>5</v>
      </c>
      <c r="B49" t="s">
        <v>16</v>
      </c>
      <c r="C49">
        <v>1</v>
      </c>
      <c r="D49">
        <v>0</v>
      </c>
      <c r="E49">
        <v>3.9259259259259198</v>
      </c>
      <c r="F49">
        <v>1</v>
      </c>
    </row>
    <row r="50" spans="1:9" x14ac:dyDescent="0.35">
      <c r="A50" t="s">
        <v>5</v>
      </c>
      <c r="B50" t="s">
        <v>16</v>
      </c>
      <c r="C50">
        <v>0</v>
      </c>
      <c r="D50">
        <v>1</v>
      </c>
      <c r="E50">
        <v>4.95185185185185</v>
      </c>
      <c r="H50">
        <v>1</v>
      </c>
    </row>
    <row r="51" spans="1:9" x14ac:dyDescent="0.35">
      <c r="A51" t="s">
        <v>5</v>
      </c>
      <c r="B51" t="s">
        <v>17</v>
      </c>
      <c r="C51">
        <v>1</v>
      </c>
      <c r="D51">
        <v>-6</v>
      </c>
      <c r="E51">
        <v>4.98888888888888</v>
      </c>
      <c r="G51">
        <v>1</v>
      </c>
    </row>
    <row r="52" spans="1:9" x14ac:dyDescent="0.35">
      <c r="A52" t="s">
        <v>5</v>
      </c>
      <c r="B52" t="s">
        <v>17</v>
      </c>
      <c r="C52">
        <v>1</v>
      </c>
      <c r="D52">
        <v>-1</v>
      </c>
      <c r="E52">
        <v>5</v>
      </c>
      <c r="G52">
        <v>1</v>
      </c>
    </row>
    <row r="53" spans="1:9" x14ac:dyDescent="0.35">
      <c r="A53" t="s">
        <v>5</v>
      </c>
      <c r="B53" t="s">
        <v>17</v>
      </c>
      <c r="C53">
        <v>1</v>
      </c>
      <c r="D53">
        <v>2</v>
      </c>
      <c r="E53">
        <v>5</v>
      </c>
      <c r="G53">
        <v>1</v>
      </c>
    </row>
    <row r="54" spans="1:9" x14ac:dyDescent="0.35">
      <c r="A54" t="s">
        <v>5</v>
      </c>
      <c r="B54" t="s">
        <v>16</v>
      </c>
      <c r="C54">
        <v>1</v>
      </c>
      <c r="D54">
        <v>0</v>
      </c>
      <c r="E54">
        <v>5</v>
      </c>
      <c r="F54">
        <v>1</v>
      </c>
    </row>
    <row r="55" spans="1:9" x14ac:dyDescent="0.35">
      <c r="A55" t="s">
        <v>5</v>
      </c>
      <c r="B55" t="s">
        <v>17</v>
      </c>
      <c r="C55">
        <v>0</v>
      </c>
      <c r="D55">
        <v>0</v>
      </c>
      <c r="E55">
        <v>5</v>
      </c>
      <c r="I55">
        <v>1</v>
      </c>
    </row>
    <row r="56" spans="1:9" x14ac:dyDescent="0.35">
      <c r="A56" t="s">
        <v>5</v>
      </c>
      <c r="B56" t="s">
        <v>16</v>
      </c>
      <c r="C56">
        <v>1</v>
      </c>
      <c r="D56">
        <v>0</v>
      </c>
      <c r="E56">
        <v>5</v>
      </c>
      <c r="F56">
        <v>1</v>
      </c>
    </row>
    <row r="57" spans="1:9" x14ac:dyDescent="0.35">
      <c r="A57" t="s">
        <v>9</v>
      </c>
      <c r="B57" t="s">
        <v>16</v>
      </c>
      <c r="C57">
        <v>1</v>
      </c>
      <c r="D57">
        <v>0</v>
      </c>
      <c r="E57">
        <v>5</v>
      </c>
      <c r="F57">
        <v>1</v>
      </c>
    </row>
    <row r="58" spans="1:9" x14ac:dyDescent="0.35">
      <c r="A58" t="s">
        <v>9</v>
      </c>
      <c r="B58" t="s">
        <v>16</v>
      </c>
      <c r="C58">
        <v>0</v>
      </c>
      <c r="D58">
        <v>-5</v>
      </c>
      <c r="E58">
        <v>5</v>
      </c>
      <c r="H58">
        <v>1</v>
      </c>
    </row>
    <row r="59" spans="1:9" x14ac:dyDescent="0.35">
      <c r="A59" t="s">
        <v>9</v>
      </c>
      <c r="B59" t="s">
        <v>17</v>
      </c>
      <c r="C59">
        <v>0</v>
      </c>
      <c r="D59">
        <v>0</v>
      </c>
      <c r="E59">
        <v>5</v>
      </c>
      <c r="I59">
        <v>1</v>
      </c>
    </row>
    <row r="60" spans="1:9" x14ac:dyDescent="0.35">
      <c r="A60" t="s">
        <v>9</v>
      </c>
      <c r="B60" t="s">
        <v>17</v>
      </c>
      <c r="C60">
        <v>1</v>
      </c>
      <c r="D60">
        <v>9</v>
      </c>
      <c r="E60">
        <v>5</v>
      </c>
      <c r="G60">
        <v>1</v>
      </c>
    </row>
    <row r="61" spans="1:9" x14ac:dyDescent="0.35">
      <c r="A61" t="s">
        <v>9</v>
      </c>
      <c r="B61" t="s">
        <v>16</v>
      </c>
      <c r="C61">
        <v>1</v>
      </c>
      <c r="D61">
        <v>0</v>
      </c>
      <c r="E61">
        <v>5</v>
      </c>
      <c r="F61">
        <v>1</v>
      </c>
    </row>
    <row r="62" spans="1:9" x14ac:dyDescent="0.35">
      <c r="A62" t="s">
        <v>9</v>
      </c>
      <c r="B62" t="s">
        <v>17</v>
      </c>
      <c r="C62">
        <v>1</v>
      </c>
      <c r="D62">
        <v>-3</v>
      </c>
      <c r="E62">
        <v>5</v>
      </c>
      <c r="G62">
        <v>1</v>
      </c>
    </row>
    <row r="63" spans="1:9" x14ac:dyDescent="0.35">
      <c r="A63" t="s">
        <v>9</v>
      </c>
      <c r="B63" t="s">
        <v>16</v>
      </c>
      <c r="C63">
        <v>1</v>
      </c>
      <c r="D63">
        <v>0</v>
      </c>
      <c r="E63">
        <v>5</v>
      </c>
      <c r="F63">
        <v>1</v>
      </c>
    </row>
    <row r="64" spans="1:9" x14ac:dyDescent="0.35">
      <c r="A64" t="s">
        <v>9</v>
      </c>
      <c r="B64" t="s">
        <v>16</v>
      </c>
      <c r="C64">
        <v>1</v>
      </c>
      <c r="D64">
        <v>0</v>
      </c>
      <c r="E64">
        <v>5</v>
      </c>
      <c r="F64">
        <v>1</v>
      </c>
    </row>
    <row r="65" spans="1:21" x14ac:dyDescent="0.35">
      <c r="A65" t="s">
        <v>9</v>
      </c>
      <c r="B65" t="s">
        <v>17</v>
      </c>
      <c r="C65">
        <v>1</v>
      </c>
      <c r="D65">
        <v>-9</v>
      </c>
      <c r="E65">
        <v>5</v>
      </c>
      <c r="G65">
        <v>1</v>
      </c>
    </row>
    <row r="66" spans="1:21" x14ac:dyDescent="0.35">
      <c r="A66" t="s">
        <v>9</v>
      </c>
      <c r="B66" t="s">
        <v>17</v>
      </c>
      <c r="C66">
        <v>1</v>
      </c>
      <c r="D66">
        <v>2</v>
      </c>
      <c r="E66">
        <v>5</v>
      </c>
      <c r="G66">
        <v>1</v>
      </c>
    </row>
    <row r="67" spans="1:21" x14ac:dyDescent="0.35">
      <c r="A67" t="s">
        <v>9</v>
      </c>
      <c r="B67" t="s">
        <v>16</v>
      </c>
      <c r="C67">
        <v>1</v>
      </c>
      <c r="D67">
        <v>0</v>
      </c>
      <c r="E67">
        <v>5</v>
      </c>
      <c r="F67">
        <v>1</v>
      </c>
    </row>
    <row r="68" spans="1:21" x14ac:dyDescent="0.35">
      <c r="A68" t="s">
        <v>11</v>
      </c>
      <c r="B68" t="s">
        <v>17</v>
      </c>
      <c r="C68">
        <v>1</v>
      </c>
      <c r="D68">
        <v>-4</v>
      </c>
      <c r="E68">
        <v>5</v>
      </c>
      <c r="G68">
        <v>1</v>
      </c>
    </row>
    <row r="69" spans="1:21" x14ac:dyDescent="0.35">
      <c r="A69" t="s">
        <v>11</v>
      </c>
      <c r="B69" t="s">
        <v>17</v>
      </c>
      <c r="C69">
        <v>1</v>
      </c>
      <c r="D69">
        <v>9</v>
      </c>
      <c r="E69">
        <v>5</v>
      </c>
      <c r="G69">
        <v>1</v>
      </c>
    </row>
    <row r="70" spans="1:21" x14ac:dyDescent="0.35">
      <c r="A70" t="s">
        <v>11</v>
      </c>
      <c r="B70" t="s">
        <v>17</v>
      </c>
      <c r="C70">
        <v>1</v>
      </c>
      <c r="D70">
        <v>-6</v>
      </c>
      <c r="E70">
        <v>5</v>
      </c>
      <c r="G70">
        <v>1</v>
      </c>
    </row>
    <row r="71" spans="1:21" x14ac:dyDescent="0.35">
      <c r="A71" t="s">
        <v>11</v>
      </c>
      <c r="B71" t="s">
        <v>16</v>
      </c>
      <c r="C71">
        <v>1</v>
      </c>
      <c r="D71">
        <v>0</v>
      </c>
      <c r="E71">
        <v>5</v>
      </c>
      <c r="F71">
        <v>1</v>
      </c>
    </row>
    <row r="72" spans="1:21" x14ac:dyDescent="0.35">
      <c r="A72" t="s">
        <v>11</v>
      </c>
      <c r="B72" t="s">
        <v>17</v>
      </c>
      <c r="C72">
        <v>1</v>
      </c>
      <c r="D72">
        <v>-3</v>
      </c>
      <c r="E72">
        <v>5</v>
      </c>
      <c r="G72">
        <v>1</v>
      </c>
    </row>
    <row r="73" spans="1:21" x14ac:dyDescent="0.35">
      <c r="A73" t="s">
        <v>11</v>
      </c>
      <c r="B73" t="s">
        <v>17</v>
      </c>
      <c r="C73">
        <v>1</v>
      </c>
      <c r="D73">
        <v>4</v>
      </c>
      <c r="E73">
        <v>5</v>
      </c>
      <c r="G73">
        <v>1</v>
      </c>
    </row>
    <row r="74" spans="1:21" x14ac:dyDescent="0.35">
      <c r="A74" t="s">
        <v>11</v>
      </c>
      <c r="B74" t="s">
        <v>17</v>
      </c>
      <c r="C74">
        <v>1</v>
      </c>
      <c r="D74">
        <v>2</v>
      </c>
      <c r="E74">
        <v>5</v>
      </c>
      <c r="G74">
        <v>1</v>
      </c>
    </row>
    <row r="75" spans="1:21" x14ac:dyDescent="0.35">
      <c r="A75" t="s">
        <v>11</v>
      </c>
      <c r="B75" t="s">
        <v>17</v>
      </c>
      <c r="C75">
        <v>1</v>
      </c>
      <c r="D75">
        <v>-1</v>
      </c>
      <c r="E75">
        <v>5</v>
      </c>
      <c r="G75">
        <v>1</v>
      </c>
    </row>
    <row r="76" spans="1:21" x14ac:dyDescent="0.35">
      <c r="A76" t="s">
        <v>11</v>
      </c>
      <c r="B76" t="s">
        <v>17</v>
      </c>
      <c r="C76">
        <v>1</v>
      </c>
      <c r="D76">
        <v>3</v>
      </c>
      <c r="E76">
        <v>5</v>
      </c>
      <c r="G76">
        <v>1</v>
      </c>
    </row>
    <row r="77" spans="1:21" x14ac:dyDescent="0.35">
      <c r="A77" t="s">
        <v>11</v>
      </c>
      <c r="B77" t="s">
        <v>16</v>
      </c>
      <c r="C77">
        <v>1</v>
      </c>
      <c r="D77">
        <v>0</v>
      </c>
      <c r="E77">
        <v>5</v>
      </c>
      <c r="F77">
        <v>1</v>
      </c>
      <c r="K77" t="s">
        <v>26</v>
      </c>
      <c r="L77">
        <f>F79/(F79+I79)</f>
        <v>0.72972972972972971</v>
      </c>
      <c r="N77" t="s">
        <v>28</v>
      </c>
      <c r="O77">
        <f>NORMSINV(L77)-NORMSINV(L78)</f>
        <v>1.4536170272725091</v>
      </c>
      <c r="Q77" t="s">
        <v>35</v>
      </c>
      <c r="R77">
        <f>AVERAGE(C2:C78,1,E2:E78)</f>
        <v>2.8232735961768216</v>
      </c>
      <c r="T77" t="s">
        <v>38</v>
      </c>
      <c r="U77">
        <f>R77-R78</f>
        <v>2.3101490695838223E-3</v>
      </c>
    </row>
    <row r="78" spans="1:21" x14ac:dyDescent="0.35">
      <c r="A78" t="s">
        <v>11</v>
      </c>
      <c r="B78" t="s">
        <v>17</v>
      </c>
      <c r="C78">
        <v>1</v>
      </c>
      <c r="D78">
        <v>4</v>
      </c>
      <c r="E78">
        <v>5</v>
      </c>
      <c r="G78">
        <v>1</v>
      </c>
      <c r="K78" t="s">
        <v>27</v>
      </c>
      <c r="L78">
        <f>H79/(H79+G79)</f>
        <v>0.2</v>
      </c>
      <c r="Q78" t="s">
        <v>33</v>
      </c>
      <c r="R78">
        <f>AVERAGE(C3:C79,0,E3:E78)</f>
        <v>2.8209634471072378</v>
      </c>
      <c r="T78" t="s">
        <v>37</v>
      </c>
      <c r="U78">
        <f>U77/O77</f>
        <v>1.5892418885037863E-3</v>
      </c>
    </row>
    <row r="79" spans="1:21" x14ac:dyDescent="0.35">
      <c r="E79" t="s">
        <v>25</v>
      </c>
      <c r="F79">
        <f>SUM(F2:F78)</f>
        <v>27</v>
      </c>
      <c r="G79">
        <f t="shared" ref="G79:I79" si="0">SUM(G2:G78)</f>
        <v>32</v>
      </c>
      <c r="H79">
        <f t="shared" si="0"/>
        <v>8</v>
      </c>
      <c r="I79">
        <f t="shared" si="0"/>
        <v>10</v>
      </c>
    </row>
    <row r="80" spans="1:21" x14ac:dyDescent="0.35">
      <c r="A80" t="s">
        <v>3</v>
      </c>
      <c r="B80" t="s">
        <v>17</v>
      </c>
      <c r="C80">
        <v>0</v>
      </c>
      <c r="D80">
        <v>0</v>
      </c>
      <c r="E80">
        <v>4</v>
      </c>
      <c r="I80">
        <v>1</v>
      </c>
    </row>
    <row r="81" spans="1:9" x14ac:dyDescent="0.35">
      <c r="A81" t="s">
        <v>3</v>
      </c>
      <c r="B81" t="s">
        <v>16</v>
      </c>
      <c r="C81">
        <v>1</v>
      </c>
      <c r="D81">
        <v>0</v>
      </c>
      <c r="E81">
        <v>4.0037037037037004</v>
      </c>
      <c r="F81">
        <v>1</v>
      </c>
    </row>
    <row r="82" spans="1:9" x14ac:dyDescent="0.35">
      <c r="A82" t="s">
        <v>3</v>
      </c>
      <c r="B82" t="s">
        <v>16</v>
      </c>
      <c r="C82">
        <v>1</v>
      </c>
      <c r="D82">
        <v>0</v>
      </c>
      <c r="E82">
        <v>2.9777777777777699</v>
      </c>
      <c r="F82">
        <v>1</v>
      </c>
    </row>
    <row r="83" spans="1:9" x14ac:dyDescent="0.35">
      <c r="A83" t="s">
        <v>3</v>
      </c>
      <c r="B83" t="s">
        <v>17</v>
      </c>
      <c r="C83">
        <v>1</v>
      </c>
      <c r="D83">
        <v>3</v>
      </c>
      <c r="E83">
        <v>2</v>
      </c>
      <c r="G83">
        <v>1</v>
      </c>
    </row>
    <row r="84" spans="1:9" x14ac:dyDescent="0.35">
      <c r="A84" t="s">
        <v>3</v>
      </c>
      <c r="B84" t="s">
        <v>17</v>
      </c>
      <c r="C84">
        <v>1</v>
      </c>
      <c r="D84">
        <v>-5</v>
      </c>
      <c r="E84">
        <v>2.0111111111111102</v>
      </c>
      <c r="G84">
        <v>1</v>
      </c>
    </row>
    <row r="85" spans="1:9" x14ac:dyDescent="0.35">
      <c r="A85" t="s">
        <v>3</v>
      </c>
      <c r="B85" t="s">
        <v>17</v>
      </c>
      <c r="C85">
        <v>1</v>
      </c>
      <c r="D85">
        <v>4</v>
      </c>
      <c r="E85">
        <v>2.0074074074074</v>
      </c>
      <c r="G85">
        <v>1</v>
      </c>
    </row>
    <row r="86" spans="1:9" x14ac:dyDescent="0.35">
      <c r="A86" t="s">
        <v>3</v>
      </c>
      <c r="B86" t="s">
        <v>16</v>
      </c>
      <c r="C86">
        <v>1</v>
      </c>
      <c r="D86">
        <v>0</v>
      </c>
      <c r="E86">
        <v>1.98888888888888</v>
      </c>
      <c r="F86">
        <v>1</v>
      </c>
    </row>
    <row r="87" spans="1:9" x14ac:dyDescent="0.35">
      <c r="A87" t="s">
        <v>3</v>
      </c>
      <c r="B87" t="s">
        <v>17</v>
      </c>
      <c r="C87">
        <v>1</v>
      </c>
      <c r="D87">
        <v>-7</v>
      </c>
      <c r="E87">
        <v>2.0185185185185102</v>
      </c>
      <c r="G87">
        <v>1</v>
      </c>
    </row>
    <row r="88" spans="1:9" x14ac:dyDescent="0.35">
      <c r="A88" t="s">
        <v>3</v>
      </c>
      <c r="B88" t="s">
        <v>16</v>
      </c>
      <c r="C88">
        <v>0</v>
      </c>
      <c r="D88">
        <v>-2</v>
      </c>
      <c r="E88">
        <v>3.0074074074074</v>
      </c>
      <c r="H88">
        <v>1</v>
      </c>
    </row>
    <row r="89" spans="1:9" x14ac:dyDescent="0.35">
      <c r="A89" t="s">
        <v>3</v>
      </c>
      <c r="B89" t="s">
        <v>16</v>
      </c>
      <c r="C89">
        <v>1</v>
      </c>
      <c r="D89">
        <v>0</v>
      </c>
      <c r="E89">
        <v>2</v>
      </c>
      <c r="F89">
        <v>1</v>
      </c>
    </row>
    <row r="90" spans="1:9" x14ac:dyDescent="0.35">
      <c r="A90" t="s">
        <v>3</v>
      </c>
      <c r="B90" t="s">
        <v>17</v>
      </c>
      <c r="C90">
        <v>0</v>
      </c>
      <c r="D90">
        <v>0</v>
      </c>
      <c r="E90">
        <v>3.0259259259259199</v>
      </c>
      <c r="I90">
        <v>1</v>
      </c>
    </row>
    <row r="91" spans="1:9" x14ac:dyDescent="0.35">
      <c r="A91" t="s">
        <v>7</v>
      </c>
      <c r="B91" t="s">
        <v>16</v>
      </c>
      <c r="C91">
        <v>0</v>
      </c>
      <c r="D91">
        <v>0</v>
      </c>
      <c r="E91">
        <v>4.0037037037037004</v>
      </c>
      <c r="I91">
        <v>1</v>
      </c>
    </row>
    <row r="92" spans="1:9" x14ac:dyDescent="0.35">
      <c r="A92" t="s">
        <v>7</v>
      </c>
      <c r="B92" t="s">
        <v>17</v>
      </c>
      <c r="C92">
        <v>1</v>
      </c>
      <c r="D92">
        <v>-5</v>
      </c>
      <c r="E92">
        <v>4</v>
      </c>
      <c r="G92">
        <v>1</v>
      </c>
    </row>
    <row r="93" spans="1:9" x14ac:dyDescent="0.35">
      <c r="A93" t="s">
        <v>7</v>
      </c>
      <c r="B93" t="s">
        <v>17</v>
      </c>
      <c r="C93">
        <v>1</v>
      </c>
      <c r="D93">
        <v>-6</v>
      </c>
      <c r="E93">
        <v>2.9703703703703699</v>
      </c>
      <c r="G93">
        <v>1</v>
      </c>
    </row>
    <row r="94" spans="1:9" x14ac:dyDescent="0.35">
      <c r="A94" t="s">
        <v>7</v>
      </c>
      <c r="B94" t="s">
        <v>16</v>
      </c>
      <c r="C94">
        <v>1</v>
      </c>
      <c r="D94">
        <v>0</v>
      </c>
      <c r="E94">
        <v>5</v>
      </c>
      <c r="F94">
        <v>1</v>
      </c>
    </row>
    <row r="95" spans="1:9" x14ac:dyDescent="0.35">
      <c r="A95" t="s">
        <v>7</v>
      </c>
      <c r="B95" t="s">
        <v>17</v>
      </c>
      <c r="C95">
        <v>1</v>
      </c>
      <c r="D95">
        <v>-4</v>
      </c>
      <c r="E95">
        <v>3.05925925925925</v>
      </c>
      <c r="G95">
        <v>1</v>
      </c>
    </row>
    <row r="96" spans="1:9" x14ac:dyDescent="0.35">
      <c r="A96" t="s">
        <v>7</v>
      </c>
      <c r="B96" t="s">
        <v>17</v>
      </c>
      <c r="C96">
        <v>0</v>
      </c>
      <c r="D96">
        <v>0</v>
      </c>
      <c r="E96">
        <v>2.0370370370370301</v>
      </c>
      <c r="I96">
        <v>1</v>
      </c>
    </row>
    <row r="97" spans="1:9" x14ac:dyDescent="0.35">
      <c r="A97" t="s">
        <v>7</v>
      </c>
      <c r="B97" t="s">
        <v>17</v>
      </c>
      <c r="C97">
        <v>1</v>
      </c>
      <c r="D97">
        <v>-7</v>
      </c>
      <c r="E97">
        <v>2.0370370370370301</v>
      </c>
      <c r="G97">
        <v>1</v>
      </c>
    </row>
    <row r="98" spans="1:9" x14ac:dyDescent="0.35">
      <c r="A98" t="s">
        <v>7</v>
      </c>
      <c r="B98" t="s">
        <v>17</v>
      </c>
      <c r="C98">
        <v>1</v>
      </c>
      <c r="D98">
        <v>2</v>
      </c>
      <c r="E98">
        <v>3.0148148148148102</v>
      </c>
      <c r="G98">
        <v>1</v>
      </c>
    </row>
    <row r="99" spans="1:9" x14ac:dyDescent="0.35">
      <c r="A99" t="s">
        <v>7</v>
      </c>
      <c r="B99" t="s">
        <v>17</v>
      </c>
      <c r="C99">
        <v>1</v>
      </c>
      <c r="D99">
        <v>3</v>
      </c>
      <c r="E99">
        <v>3.0074074074074</v>
      </c>
      <c r="G99">
        <v>1</v>
      </c>
    </row>
    <row r="100" spans="1:9" x14ac:dyDescent="0.35">
      <c r="A100" t="s">
        <v>7</v>
      </c>
      <c r="B100" t="s">
        <v>16</v>
      </c>
      <c r="C100">
        <v>1</v>
      </c>
      <c r="D100">
        <v>0</v>
      </c>
      <c r="E100">
        <v>1.99629629629629</v>
      </c>
      <c r="F100">
        <v>1</v>
      </c>
    </row>
    <row r="101" spans="1:9" x14ac:dyDescent="0.35">
      <c r="A101" t="s">
        <v>7</v>
      </c>
      <c r="B101" t="s">
        <v>16</v>
      </c>
      <c r="C101">
        <v>1</v>
      </c>
      <c r="D101">
        <v>0</v>
      </c>
      <c r="E101">
        <v>3</v>
      </c>
      <c r="F101">
        <v>1</v>
      </c>
    </row>
    <row r="102" spans="1:9" x14ac:dyDescent="0.35">
      <c r="A102" t="s">
        <v>6</v>
      </c>
      <c r="B102" t="s">
        <v>17</v>
      </c>
      <c r="C102">
        <v>1</v>
      </c>
      <c r="D102">
        <v>3</v>
      </c>
      <c r="E102">
        <v>3.0148148148148102</v>
      </c>
      <c r="G102">
        <v>1</v>
      </c>
    </row>
    <row r="103" spans="1:9" x14ac:dyDescent="0.35">
      <c r="A103" t="s">
        <v>6</v>
      </c>
      <c r="B103" t="s">
        <v>17</v>
      </c>
      <c r="C103">
        <v>1</v>
      </c>
      <c r="D103">
        <v>7</v>
      </c>
      <c r="E103">
        <v>4.0037037037037004</v>
      </c>
      <c r="G103">
        <v>1</v>
      </c>
    </row>
    <row r="104" spans="1:9" x14ac:dyDescent="0.35">
      <c r="A104" t="s">
        <v>6</v>
      </c>
      <c r="B104" t="s">
        <v>17</v>
      </c>
      <c r="C104">
        <v>0</v>
      </c>
      <c r="D104">
        <v>0</v>
      </c>
      <c r="E104">
        <v>1</v>
      </c>
      <c r="I104">
        <v>1</v>
      </c>
    </row>
    <row r="105" spans="1:9" x14ac:dyDescent="0.35">
      <c r="A105" t="s">
        <v>6</v>
      </c>
      <c r="B105" t="s">
        <v>16</v>
      </c>
      <c r="C105">
        <v>1</v>
      </c>
      <c r="D105">
        <v>0</v>
      </c>
      <c r="E105">
        <v>3.0037037037037</v>
      </c>
      <c r="F105">
        <v>1</v>
      </c>
    </row>
    <row r="106" spans="1:9" x14ac:dyDescent="0.35">
      <c r="A106" t="s">
        <v>6</v>
      </c>
      <c r="B106" t="s">
        <v>16</v>
      </c>
      <c r="C106">
        <v>1</v>
      </c>
      <c r="D106">
        <v>0</v>
      </c>
      <c r="E106">
        <v>2.9851851851851801</v>
      </c>
      <c r="F106">
        <v>1</v>
      </c>
    </row>
    <row r="107" spans="1:9" x14ac:dyDescent="0.35">
      <c r="A107" t="s">
        <v>6</v>
      </c>
      <c r="B107" t="s">
        <v>16</v>
      </c>
      <c r="C107">
        <v>1</v>
      </c>
      <c r="D107">
        <v>0</v>
      </c>
      <c r="E107">
        <v>3.0148148148148102</v>
      </c>
      <c r="F107">
        <v>1</v>
      </c>
    </row>
    <row r="108" spans="1:9" x14ac:dyDescent="0.35">
      <c r="A108" t="s">
        <v>6</v>
      </c>
      <c r="B108" t="s">
        <v>17</v>
      </c>
      <c r="C108">
        <v>0</v>
      </c>
      <c r="D108">
        <v>0</v>
      </c>
      <c r="E108">
        <v>2.0370370370370301</v>
      </c>
      <c r="I108">
        <v>1</v>
      </c>
    </row>
    <row r="109" spans="1:9" x14ac:dyDescent="0.35">
      <c r="A109" t="s">
        <v>6</v>
      </c>
      <c r="B109" t="s">
        <v>17</v>
      </c>
      <c r="C109">
        <v>1</v>
      </c>
      <c r="D109">
        <v>-7</v>
      </c>
      <c r="E109">
        <v>1.99259259259259</v>
      </c>
      <c r="G109">
        <v>1</v>
      </c>
    </row>
    <row r="110" spans="1:9" x14ac:dyDescent="0.35">
      <c r="A110" t="s">
        <v>6</v>
      </c>
      <c r="B110" t="s">
        <v>17</v>
      </c>
      <c r="C110">
        <v>1</v>
      </c>
      <c r="D110">
        <v>8</v>
      </c>
      <c r="E110">
        <v>2.0111111111111102</v>
      </c>
      <c r="G110">
        <v>1</v>
      </c>
    </row>
    <row r="111" spans="1:9" x14ac:dyDescent="0.35">
      <c r="A111" t="s">
        <v>6</v>
      </c>
      <c r="B111" t="s">
        <v>17</v>
      </c>
      <c r="C111">
        <v>1</v>
      </c>
      <c r="D111">
        <v>2</v>
      </c>
      <c r="E111">
        <v>2.98888888888888</v>
      </c>
      <c r="G111">
        <v>1</v>
      </c>
    </row>
    <row r="112" spans="1:9" x14ac:dyDescent="0.35">
      <c r="A112" t="s">
        <v>6</v>
      </c>
      <c r="B112" t="s">
        <v>17</v>
      </c>
      <c r="C112">
        <v>1</v>
      </c>
      <c r="D112">
        <v>5</v>
      </c>
      <c r="E112">
        <v>2.0074074074074</v>
      </c>
      <c r="G112">
        <v>1</v>
      </c>
    </row>
    <row r="113" spans="1:9" x14ac:dyDescent="0.35">
      <c r="A113" t="s">
        <v>13</v>
      </c>
      <c r="B113" t="s">
        <v>17</v>
      </c>
      <c r="C113">
        <v>1</v>
      </c>
      <c r="D113">
        <v>-3</v>
      </c>
      <c r="E113">
        <v>4.0148148148148097</v>
      </c>
      <c r="G113">
        <v>1</v>
      </c>
    </row>
    <row r="114" spans="1:9" x14ac:dyDescent="0.35">
      <c r="A114" t="s">
        <v>13</v>
      </c>
      <c r="B114" t="s">
        <v>16</v>
      </c>
      <c r="C114">
        <v>1</v>
      </c>
      <c r="D114">
        <v>0</v>
      </c>
      <c r="E114">
        <v>4.0037037037037004</v>
      </c>
      <c r="F114">
        <v>1</v>
      </c>
    </row>
    <row r="115" spans="1:9" x14ac:dyDescent="0.35">
      <c r="A115" t="s">
        <v>13</v>
      </c>
      <c r="B115" t="s">
        <v>17</v>
      </c>
      <c r="C115">
        <v>1</v>
      </c>
      <c r="D115">
        <v>7</v>
      </c>
      <c r="E115">
        <v>4</v>
      </c>
      <c r="G115">
        <v>1</v>
      </c>
    </row>
    <row r="116" spans="1:9" x14ac:dyDescent="0.35">
      <c r="A116" t="s">
        <v>13</v>
      </c>
      <c r="B116" t="s">
        <v>16</v>
      </c>
      <c r="C116">
        <v>1</v>
      </c>
      <c r="D116">
        <v>0</v>
      </c>
      <c r="E116">
        <v>3.0148148148148102</v>
      </c>
      <c r="F116">
        <v>1</v>
      </c>
    </row>
    <row r="117" spans="1:9" x14ac:dyDescent="0.35">
      <c r="A117" t="s">
        <v>13</v>
      </c>
      <c r="B117" t="s">
        <v>16</v>
      </c>
      <c r="C117">
        <v>1</v>
      </c>
      <c r="D117">
        <v>0</v>
      </c>
      <c r="E117">
        <v>3.9962962962962898</v>
      </c>
      <c r="F117">
        <v>1</v>
      </c>
    </row>
    <row r="118" spans="1:9" x14ac:dyDescent="0.35">
      <c r="A118" t="s">
        <v>13</v>
      </c>
      <c r="B118" t="s">
        <v>16</v>
      </c>
      <c r="C118">
        <v>1</v>
      </c>
      <c r="D118">
        <v>0</v>
      </c>
      <c r="E118">
        <v>3.0296296296296199</v>
      </c>
      <c r="F118">
        <v>1</v>
      </c>
    </row>
    <row r="119" spans="1:9" x14ac:dyDescent="0.35">
      <c r="A119" t="s">
        <v>13</v>
      </c>
      <c r="B119" t="s">
        <v>17</v>
      </c>
      <c r="C119">
        <v>1</v>
      </c>
      <c r="D119">
        <v>2</v>
      </c>
      <c r="E119">
        <v>2.43333333333333</v>
      </c>
      <c r="G119">
        <v>1</v>
      </c>
    </row>
    <row r="120" spans="1:9" x14ac:dyDescent="0.35">
      <c r="A120" t="s">
        <v>13</v>
      </c>
      <c r="B120" t="s">
        <v>16</v>
      </c>
      <c r="C120">
        <v>1</v>
      </c>
      <c r="D120">
        <v>0</v>
      </c>
      <c r="E120">
        <v>3.0037037037037</v>
      </c>
      <c r="F120">
        <v>1</v>
      </c>
    </row>
    <row r="121" spans="1:9" x14ac:dyDescent="0.35">
      <c r="A121" t="s">
        <v>13</v>
      </c>
      <c r="B121" t="s">
        <v>17</v>
      </c>
      <c r="C121">
        <v>0</v>
      </c>
      <c r="D121">
        <v>0</v>
      </c>
      <c r="E121">
        <v>3.0037037037037</v>
      </c>
      <c r="I121">
        <v>1</v>
      </c>
    </row>
    <row r="122" spans="1:9" x14ac:dyDescent="0.35">
      <c r="A122" t="s">
        <v>13</v>
      </c>
      <c r="B122" t="s">
        <v>16</v>
      </c>
      <c r="C122">
        <v>1</v>
      </c>
      <c r="D122">
        <v>0</v>
      </c>
      <c r="E122">
        <v>2.0222222222222199</v>
      </c>
      <c r="F122">
        <v>1</v>
      </c>
    </row>
    <row r="123" spans="1:9" x14ac:dyDescent="0.35">
      <c r="A123" t="s">
        <v>13</v>
      </c>
      <c r="B123" t="s">
        <v>17</v>
      </c>
      <c r="C123">
        <v>1</v>
      </c>
      <c r="D123">
        <v>8</v>
      </c>
      <c r="E123">
        <v>3.0296296296296199</v>
      </c>
      <c r="G123">
        <v>1</v>
      </c>
    </row>
    <row r="124" spans="1:9" x14ac:dyDescent="0.35">
      <c r="A124" t="s">
        <v>12</v>
      </c>
      <c r="B124" t="s">
        <v>17</v>
      </c>
      <c r="C124">
        <v>1</v>
      </c>
      <c r="D124">
        <v>-8</v>
      </c>
      <c r="E124">
        <v>2.98888888888888</v>
      </c>
      <c r="G124">
        <v>1</v>
      </c>
    </row>
    <row r="125" spans="1:9" x14ac:dyDescent="0.35">
      <c r="A125" t="s">
        <v>12</v>
      </c>
      <c r="B125" t="s">
        <v>16</v>
      </c>
      <c r="C125">
        <v>0</v>
      </c>
      <c r="D125">
        <v>0</v>
      </c>
      <c r="E125">
        <v>4.0037037037037004</v>
      </c>
      <c r="I125">
        <v>1</v>
      </c>
    </row>
    <row r="126" spans="1:9" x14ac:dyDescent="0.35">
      <c r="A126" t="s">
        <v>12</v>
      </c>
      <c r="B126" t="s">
        <v>17</v>
      </c>
      <c r="C126">
        <v>0</v>
      </c>
      <c r="D126">
        <v>0</v>
      </c>
      <c r="E126">
        <v>2.0185185185185102</v>
      </c>
      <c r="I126">
        <v>1</v>
      </c>
    </row>
    <row r="127" spans="1:9" x14ac:dyDescent="0.35">
      <c r="A127" t="s">
        <v>12</v>
      </c>
      <c r="B127" t="s">
        <v>16</v>
      </c>
      <c r="C127">
        <v>1</v>
      </c>
      <c r="D127">
        <v>0</v>
      </c>
      <c r="E127">
        <v>3.0037037037037</v>
      </c>
      <c r="F127">
        <v>1</v>
      </c>
    </row>
    <row r="128" spans="1:9" x14ac:dyDescent="0.35">
      <c r="A128" t="s">
        <v>12</v>
      </c>
      <c r="B128" t="s">
        <v>16</v>
      </c>
      <c r="C128">
        <v>1</v>
      </c>
      <c r="D128">
        <v>0</v>
      </c>
      <c r="E128">
        <v>3.0111111111111102</v>
      </c>
      <c r="F128">
        <v>1</v>
      </c>
    </row>
    <row r="129" spans="1:9" x14ac:dyDescent="0.35">
      <c r="A129" t="s">
        <v>12</v>
      </c>
      <c r="B129" t="s">
        <v>17</v>
      </c>
      <c r="C129">
        <v>0</v>
      </c>
      <c r="D129">
        <v>0</v>
      </c>
      <c r="E129">
        <v>3.0074074074074</v>
      </c>
      <c r="I129">
        <v>1</v>
      </c>
    </row>
    <row r="130" spans="1:9" x14ac:dyDescent="0.35">
      <c r="A130" t="s">
        <v>12</v>
      </c>
      <c r="B130" t="s">
        <v>17</v>
      </c>
      <c r="C130">
        <v>1</v>
      </c>
      <c r="D130">
        <v>6</v>
      </c>
      <c r="E130">
        <v>4</v>
      </c>
      <c r="G130">
        <v>1</v>
      </c>
    </row>
    <row r="131" spans="1:9" x14ac:dyDescent="0.35">
      <c r="A131" t="s">
        <v>12</v>
      </c>
      <c r="B131" t="s">
        <v>17</v>
      </c>
      <c r="C131">
        <v>1</v>
      </c>
      <c r="D131">
        <v>2</v>
      </c>
      <c r="E131">
        <v>2.0074074074074</v>
      </c>
      <c r="G131">
        <v>1</v>
      </c>
    </row>
    <row r="132" spans="1:9" x14ac:dyDescent="0.35">
      <c r="A132" t="s">
        <v>12</v>
      </c>
      <c r="B132" t="s">
        <v>16</v>
      </c>
      <c r="C132">
        <v>1</v>
      </c>
      <c r="D132">
        <v>0</v>
      </c>
      <c r="E132">
        <v>2.98888888888888</v>
      </c>
      <c r="F132">
        <v>1</v>
      </c>
    </row>
    <row r="133" spans="1:9" x14ac:dyDescent="0.35">
      <c r="A133" t="s">
        <v>12</v>
      </c>
      <c r="B133" t="s">
        <v>17</v>
      </c>
      <c r="C133">
        <v>1</v>
      </c>
      <c r="D133">
        <v>-7</v>
      </c>
      <c r="E133">
        <v>3.9814814814814801</v>
      </c>
      <c r="G133">
        <v>1</v>
      </c>
    </row>
    <row r="134" spans="1:9" x14ac:dyDescent="0.35">
      <c r="A134" t="s">
        <v>12</v>
      </c>
      <c r="B134" t="s">
        <v>17</v>
      </c>
      <c r="C134">
        <v>1</v>
      </c>
      <c r="D134">
        <v>-8</v>
      </c>
      <c r="E134">
        <v>3</v>
      </c>
      <c r="G134">
        <v>1</v>
      </c>
    </row>
    <row r="135" spans="1:9" x14ac:dyDescent="0.35">
      <c r="A135" t="s">
        <v>8</v>
      </c>
      <c r="B135" t="s">
        <v>16</v>
      </c>
      <c r="C135">
        <v>1</v>
      </c>
      <c r="D135">
        <v>0</v>
      </c>
      <c r="E135">
        <v>4.0222222222222204</v>
      </c>
      <c r="F135">
        <v>1</v>
      </c>
    </row>
    <row r="136" spans="1:9" x14ac:dyDescent="0.35">
      <c r="A136" t="s">
        <v>8</v>
      </c>
      <c r="B136" t="s">
        <v>17</v>
      </c>
      <c r="C136">
        <v>1</v>
      </c>
      <c r="D136">
        <v>-9</v>
      </c>
      <c r="E136">
        <v>4.0185185185185102</v>
      </c>
      <c r="G136">
        <v>1</v>
      </c>
    </row>
    <row r="137" spans="1:9" x14ac:dyDescent="0.35">
      <c r="A137" t="s">
        <v>8</v>
      </c>
      <c r="B137" t="s">
        <v>16</v>
      </c>
      <c r="C137">
        <v>0</v>
      </c>
      <c r="D137">
        <v>2</v>
      </c>
      <c r="E137">
        <v>2.0185185185185102</v>
      </c>
      <c r="H137">
        <v>1</v>
      </c>
    </row>
    <row r="138" spans="1:9" x14ac:dyDescent="0.35">
      <c r="A138" t="s">
        <v>8</v>
      </c>
      <c r="B138" t="s">
        <v>17</v>
      </c>
      <c r="C138">
        <v>1</v>
      </c>
      <c r="D138">
        <v>8</v>
      </c>
      <c r="E138">
        <v>2.9962962962962898</v>
      </c>
      <c r="G138">
        <v>1</v>
      </c>
    </row>
    <row r="139" spans="1:9" x14ac:dyDescent="0.35">
      <c r="A139" t="s">
        <v>8</v>
      </c>
      <c r="B139" t="s">
        <v>16</v>
      </c>
      <c r="C139">
        <v>1</v>
      </c>
      <c r="D139">
        <v>0</v>
      </c>
      <c r="E139">
        <v>2</v>
      </c>
      <c r="F139">
        <v>1</v>
      </c>
    </row>
    <row r="140" spans="1:9" x14ac:dyDescent="0.35">
      <c r="A140" t="s">
        <v>8</v>
      </c>
      <c r="B140" t="s">
        <v>16</v>
      </c>
      <c r="C140">
        <v>0</v>
      </c>
      <c r="D140">
        <v>-2</v>
      </c>
      <c r="E140">
        <v>3.0111111111111102</v>
      </c>
      <c r="H140">
        <v>1</v>
      </c>
    </row>
    <row r="141" spans="1:9" x14ac:dyDescent="0.35">
      <c r="A141" t="s">
        <v>8</v>
      </c>
      <c r="B141" t="s">
        <v>17</v>
      </c>
      <c r="C141">
        <v>1</v>
      </c>
      <c r="D141">
        <v>4</v>
      </c>
      <c r="E141">
        <v>2.0074074074074</v>
      </c>
      <c r="G141">
        <v>1</v>
      </c>
    </row>
    <row r="142" spans="1:9" x14ac:dyDescent="0.35">
      <c r="A142" t="s">
        <v>8</v>
      </c>
      <c r="B142" t="s">
        <v>17</v>
      </c>
      <c r="C142">
        <v>1</v>
      </c>
      <c r="D142">
        <v>5</v>
      </c>
      <c r="E142">
        <v>3.0407407407407399</v>
      </c>
      <c r="G142">
        <v>1</v>
      </c>
    </row>
    <row r="143" spans="1:9" x14ac:dyDescent="0.35">
      <c r="A143" t="s">
        <v>8</v>
      </c>
      <c r="B143" t="s">
        <v>17</v>
      </c>
      <c r="C143">
        <v>0</v>
      </c>
      <c r="D143">
        <v>0</v>
      </c>
      <c r="E143">
        <v>2.0111111111111102</v>
      </c>
      <c r="I143">
        <v>1</v>
      </c>
    </row>
    <row r="144" spans="1:9" x14ac:dyDescent="0.35">
      <c r="A144" t="s">
        <v>8</v>
      </c>
      <c r="B144" t="s">
        <v>17</v>
      </c>
      <c r="C144">
        <v>1</v>
      </c>
      <c r="D144">
        <v>-9</v>
      </c>
      <c r="E144">
        <v>3.0111111111111102</v>
      </c>
      <c r="G144">
        <v>1</v>
      </c>
    </row>
    <row r="145" spans="1:9" x14ac:dyDescent="0.35">
      <c r="A145" t="s">
        <v>8</v>
      </c>
      <c r="B145" t="s">
        <v>16</v>
      </c>
      <c r="C145">
        <v>1</v>
      </c>
      <c r="D145">
        <v>0</v>
      </c>
      <c r="E145">
        <v>2.9740740740740699</v>
      </c>
      <c r="F145">
        <v>1</v>
      </c>
    </row>
    <row r="146" spans="1:9" x14ac:dyDescent="0.35">
      <c r="A146" t="s">
        <v>1</v>
      </c>
      <c r="B146" t="s">
        <v>17</v>
      </c>
      <c r="C146">
        <v>1</v>
      </c>
      <c r="D146">
        <v>-6</v>
      </c>
      <c r="E146">
        <v>4.0185185185185102</v>
      </c>
      <c r="G146">
        <v>1</v>
      </c>
    </row>
    <row r="147" spans="1:9" x14ac:dyDescent="0.35">
      <c r="A147" t="s">
        <v>1</v>
      </c>
      <c r="B147" t="s">
        <v>17</v>
      </c>
      <c r="C147">
        <v>1</v>
      </c>
      <c r="D147">
        <v>-4</v>
      </c>
      <c r="E147">
        <v>3.9925925925925898</v>
      </c>
      <c r="G147">
        <v>1</v>
      </c>
    </row>
    <row r="148" spans="1:9" x14ac:dyDescent="0.35">
      <c r="A148" t="s">
        <v>1</v>
      </c>
      <c r="B148" t="s">
        <v>17</v>
      </c>
      <c r="C148">
        <v>0</v>
      </c>
      <c r="D148">
        <v>0</v>
      </c>
      <c r="E148">
        <v>3.0370370370370301</v>
      </c>
      <c r="I148">
        <v>1</v>
      </c>
    </row>
    <row r="149" spans="1:9" x14ac:dyDescent="0.35">
      <c r="A149" t="s">
        <v>1</v>
      </c>
      <c r="B149" t="s">
        <v>16</v>
      </c>
      <c r="C149">
        <v>1</v>
      </c>
      <c r="D149">
        <v>0</v>
      </c>
      <c r="E149">
        <v>1</v>
      </c>
      <c r="F149">
        <v>1</v>
      </c>
    </row>
    <row r="150" spans="1:9" x14ac:dyDescent="0.35">
      <c r="A150" t="s">
        <v>1</v>
      </c>
      <c r="B150" t="s">
        <v>16</v>
      </c>
      <c r="C150">
        <v>0</v>
      </c>
      <c r="D150">
        <v>0</v>
      </c>
      <c r="E150">
        <v>3.0185185185185102</v>
      </c>
      <c r="I150">
        <v>1</v>
      </c>
    </row>
    <row r="151" spans="1:9" x14ac:dyDescent="0.35">
      <c r="A151" t="s">
        <v>1</v>
      </c>
      <c r="B151" t="s">
        <v>17</v>
      </c>
      <c r="C151">
        <v>0</v>
      </c>
      <c r="D151">
        <v>0</v>
      </c>
      <c r="E151">
        <v>3.0296296296296199</v>
      </c>
      <c r="I151">
        <v>1</v>
      </c>
    </row>
    <row r="152" spans="1:9" x14ac:dyDescent="0.35">
      <c r="A152" t="s">
        <v>1</v>
      </c>
      <c r="B152" t="s">
        <v>17</v>
      </c>
      <c r="C152">
        <v>1</v>
      </c>
      <c r="D152">
        <v>-9</v>
      </c>
      <c r="E152">
        <v>3.0037037037037</v>
      </c>
      <c r="G152">
        <v>1</v>
      </c>
    </row>
    <row r="153" spans="1:9" x14ac:dyDescent="0.35">
      <c r="A153" t="s">
        <v>1</v>
      </c>
      <c r="B153" t="s">
        <v>17</v>
      </c>
      <c r="C153">
        <v>0</v>
      </c>
      <c r="D153">
        <v>0</v>
      </c>
      <c r="E153">
        <v>2.0148148148148102</v>
      </c>
      <c r="I153">
        <v>1</v>
      </c>
    </row>
    <row r="154" spans="1:9" x14ac:dyDescent="0.35">
      <c r="A154" t="s">
        <v>1</v>
      </c>
      <c r="B154" t="s">
        <v>17</v>
      </c>
      <c r="C154">
        <v>0</v>
      </c>
      <c r="D154">
        <v>0</v>
      </c>
      <c r="E154">
        <v>2.9962962962962898</v>
      </c>
      <c r="I154">
        <v>1</v>
      </c>
    </row>
    <row r="155" spans="1:9" x14ac:dyDescent="0.35">
      <c r="A155" t="s">
        <v>1</v>
      </c>
      <c r="B155" t="s">
        <v>16</v>
      </c>
      <c r="C155">
        <v>0</v>
      </c>
      <c r="D155">
        <v>-2</v>
      </c>
      <c r="E155">
        <v>3</v>
      </c>
      <c r="H155">
        <v>1</v>
      </c>
    </row>
    <row r="156" spans="1:9" x14ac:dyDescent="0.35">
      <c r="A156" t="s">
        <v>1</v>
      </c>
      <c r="B156" t="s">
        <v>17</v>
      </c>
      <c r="C156">
        <v>0</v>
      </c>
      <c r="D156">
        <v>0</v>
      </c>
      <c r="E156">
        <v>1</v>
      </c>
      <c r="I156">
        <v>1</v>
      </c>
    </row>
    <row r="157" spans="1:9" x14ac:dyDescent="0.35">
      <c r="E157" t="s">
        <v>25</v>
      </c>
      <c r="F157">
        <f>SUM(F80:F156)</f>
        <v>23</v>
      </c>
      <c r="G157">
        <f t="shared" ref="G157:I157" si="1">SUM(G80:G156)</f>
        <v>33</v>
      </c>
      <c r="H157">
        <f t="shared" si="1"/>
        <v>4</v>
      </c>
      <c r="I157">
        <f t="shared" si="1"/>
        <v>17</v>
      </c>
    </row>
    <row r="159" spans="1:9" x14ac:dyDescent="0.35">
      <c r="E159" t="s">
        <v>26</v>
      </c>
      <c r="F159">
        <f>F157/(F157+I157)</f>
        <v>0.57499999999999996</v>
      </c>
    </row>
    <row r="160" spans="1:9" x14ac:dyDescent="0.35">
      <c r="E160" t="s">
        <v>27</v>
      </c>
      <c r="F160">
        <f>H157/(H157+G157)</f>
        <v>0.10810810810810811</v>
      </c>
    </row>
    <row r="162" spans="5:6" x14ac:dyDescent="0.35">
      <c r="E162" t="s">
        <v>28</v>
      </c>
      <c r="F162">
        <f>NORMSINV(F159)-NORMSINV(F160)</f>
        <v>1.4257706677927</v>
      </c>
    </row>
    <row r="164" spans="5:6" x14ac:dyDescent="0.35">
      <c r="E164" t="s">
        <v>29</v>
      </c>
      <c r="F164">
        <f>AVERAGE(C80:C156,1,E80:E157)</f>
        <v>1.8000716845878122</v>
      </c>
    </row>
    <row r="165" spans="5:6" x14ac:dyDescent="0.35">
      <c r="E165" t="s">
        <v>30</v>
      </c>
      <c r="F165">
        <f>AVERAGE(C80:C156,0,E80:E156)</f>
        <v>1.7936200716845865</v>
      </c>
    </row>
    <row r="167" spans="5:6" x14ac:dyDescent="0.35">
      <c r="E167" t="s">
        <v>39</v>
      </c>
      <c r="F167">
        <f>F164-F165</f>
        <v>6.4516129032257119E-3</v>
      </c>
    </row>
    <row r="168" spans="5:6" x14ac:dyDescent="0.35">
      <c r="E168" t="s">
        <v>37</v>
      </c>
      <c r="F168">
        <f>F167/F162</f>
        <v>4.5250004428929267E-3</v>
      </c>
    </row>
  </sheetData>
  <sortState xmlns:xlrd2="http://schemas.microsoft.com/office/spreadsheetml/2017/richdata2" ref="A1:I157">
    <sortCondition ref="A1:A1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3D4A-443F-4143-8E93-236FA67324E3}">
  <dimension ref="A1:U166"/>
  <sheetViews>
    <sheetView topLeftCell="I76" workbookViewId="0">
      <selection activeCell="U77" sqref="U77"/>
    </sheetView>
  </sheetViews>
  <sheetFormatPr defaultRowHeight="14.5" x14ac:dyDescent="0.35"/>
  <cols>
    <col min="1" max="1" width="19.453125" customWidth="1"/>
    <col min="5" max="5" width="14.453125" customWidth="1"/>
  </cols>
  <sheetData>
    <row r="1" spans="1:9" x14ac:dyDescent="0.35">
      <c r="A1" t="s">
        <v>24</v>
      </c>
      <c r="B1" t="s">
        <v>14</v>
      </c>
      <c r="C1" t="s">
        <v>15</v>
      </c>
      <c r="D1" t="s">
        <v>23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 t="s">
        <v>4</v>
      </c>
      <c r="B2" t="s">
        <v>16</v>
      </c>
      <c r="C2">
        <v>1</v>
      </c>
      <c r="D2">
        <v>0</v>
      </c>
      <c r="E2">
        <v>5</v>
      </c>
      <c r="F2">
        <v>1</v>
      </c>
    </row>
    <row r="3" spans="1:9" x14ac:dyDescent="0.35">
      <c r="A3" t="s">
        <v>4</v>
      </c>
      <c r="B3" t="s">
        <v>16</v>
      </c>
      <c r="C3">
        <v>1</v>
      </c>
      <c r="D3">
        <v>0</v>
      </c>
      <c r="E3">
        <v>5</v>
      </c>
      <c r="F3">
        <v>1</v>
      </c>
    </row>
    <row r="4" spans="1:9" x14ac:dyDescent="0.35">
      <c r="A4" t="s">
        <v>4</v>
      </c>
      <c r="B4" t="s">
        <v>17</v>
      </c>
      <c r="C4">
        <v>1</v>
      </c>
      <c r="D4">
        <v>4</v>
      </c>
      <c r="E4">
        <v>4.0111111111111102</v>
      </c>
      <c r="G4">
        <v>1</v>
      </c>
    </row>
    <row r="5" spans="1:9" x14ac:dyDescent="0.35">
      <c r="A5" t="s">
        <v>4</v>
      </c>
      <c r="B5" t="s">
        <v>16</v>
      </c>
      <c r="C5">
        <v>1</v>
      </c>
      <c r="D5">
        <v>0</v>
      </c>
      <c r="E5">
        <v>4.0111111111111102</v>
      </c>
      <c r="F5">
        <v>1</v>
      </c>
    </row>
    <row r="6" spans="1:9" x14ac:dyDescent="0.35">
      <c r="A6" t="s">
        <v>4</v>
      </c>
      <c r="B6" t="s">
        <v>17</v>
      </c>
      <c r="C6">
        <v>1</v>
      </c>
      <c r="D6">
        <v>8</v>
      </c>
      <c r="E6">
        <v>5</v>
      </c>
      <c r="G6">
        <v>1</v>
      </c>
    </row>
    <row r="7" spans="1:9" x14ac:dyDescent="0.35">
      <c r="A7" t="s">
        <v>4</v>
      </c>
      <c r="B7" t="s">
        <v>16</v>
      </c>
      <c r="C7">
        <v>0</v>
      </c>
      <c r="D7">
        <v>1</v>
      </c>
      <c r="E7">
        <v>5</v>
      </c>
      <c r="H7">
        <v>1</v>
      </c>
    </row>
    <row r="8" spans="1:9" x14ac:dyDescent="0.35">
      <c r="A8" t="s">
        <v>4</v>
      </c>
      <c r="B8" t="s">
        <v>16</v>
      </c>
      <c r="C8">
        <v>1</v>
      </c>
      <c r="D8">
        <v>0</v>
      </c>
      <c r="E8">
        <v>5</v>
      </c>
      <c r="F8">
        <v>1</v>
      </c>
    </row>
    <row r="9" spans="1:9" x14ac:dyDescent="0.35">
      <c r="A9" t="s">
        <v>4</v>
      </c>
      <c r="B9" t="s">
        <v>17</v>
      </c>
      <c r="C9">
        <v>1</v>
      </c>
      <c r="D9">
        <v>-7</v>
      </c>
      <c r="E9">
        <v>5</v>
      </c>
      <c r="G9">
        <v>1</v>
      </c>
    </row>
    <row r="10" spans="1:9" x14ac:dyDescent="0.35">
      <c r="A10" t="s">
        <v>4</v>
      </c>
      <c r="B10" t="s">
        <v>16</v>
      </c>
      <c r="C10">
        <v>0</v>
      </c>
      <c r="D10">
        <v>-1</v>
      </c>
      <c r="E10">
        <v>5</v>
      </c>
      <c r="H10">
        <v>1</v>
      </c>
    </row>
    <row r="11" spans="1:9" x14ac:dyDescent="0.35">
      <c r="A11" t="s">
        <v>4</v>
      </c>
      <c r="B11" t="s">
        <v>17</v>
      </c>
      <c r="C11">
        <v>1</v>
      </c>
      <c r="D11">
        <v>4</v>
      </c>
      <c r="E11">
        <v>5</v>
      </c>
      <c r="G11">
        <v>1</v>
      </c>
    </row>
    <row r="12" spans="1:9" x14ac:dyDescent="0.35">
      <c r="A12" t="s">
        <v>4</v>
      </c>
      <c r="B12" t="s">
        <v>16</v>
      </c>
      <c r="C12">
        <v>0</v>
      </c>
      <c r="D12">
        <v>0</v>
      </c>
      <c r="E12">
        <v>4.0888888888888797</v>
      </c>
      <c r="I12">
        <v>1</v>
      </c>
    </row>
    <row r="13" spans="1:9" x14ac:dyDescent="0.35">
      <c r="A13" t="s">
        <v>0</v>
      </c>
      <c r="B13" t="s">
        <v>16</v>
      </c>
      <c r="C13">
        <v>0</v>
      </c>
      <c r="D13">
        <v>-1</v>
      </c>
      <c r="E13">
        <v>5</v>
      </c>
      <c r="H13">
        <v>1</v>
      </c>
    </row>
    <row r="14" spans="1:9" x14ac:dyDescent="0.35">
      <c r="A14" t="s">
        <v>0</v>
      </c>
      <c r="B14" t="s">
        <v>16</v>
      </c>
      <c r="C14">
        <v>0</v>
      </c>
      <c r="D14">
        <v>-1</v>
      </c>
      <c r="E14">
        <v>4.57407407407407</v>
      </c>
      <c r="H14">
        <v>1</v>
      </c>
    </row>
    <row r="15" spans="1:9" x14ac:dyDescent="0.35">
      <c r="A15" t="s">
        <v>0</v>
      </c>
      <c r="B15" t="s">
        <v>17</v>
      </c>
      <c r="C15">
        <v>1</v>
      </c>
      <c r="D15">
        <v>9</v>
      </c>
      <c r="E15">
        <v>5</v>
      </c>
      <c r="G15">
        <v>1</v>
      </c>
    </row>
    <row r="16" spans="1:9" x14ac:dyDescent="0.35">
      <c r="A16" t="s">
        <v>0</v>
      </c>
      <c r="B16" t="s">
        <v>17</v>
      </c>
      <c r="C16">
        <v>1</v>
      </c>
      <c r="D16">
        <v>-9</v>
      </c>
      <c r="E16">
        <v>5</v>
      </c>
      <c r="G16">
        <v>1</v>
      </c>
    </row>
    <row r="17" spans="1:9" x14ac:dyDescent="0.35">
      <c r="A17" t="s">
        <v>0</v>
      </c>
      <c r="B17" t="s">
        <v>16</v>
      </c>
      <c r="C17">
        <v>0</v>
      </c>
      <c r="D17">
        <v>-1</v>
      </c>
      <c r="E17">
        <v>5</v>
      </c>
      <c r="H17">
        <v>1</v>
      </c>
    </row>
    <row r="18" spans="1:9" x14ac:dyDescent="0.35">
      <c r="A18" t="s">
        <v>0</v>
      </c>
      <c r="B18" t="s">
        <v>16</v>
      </c>
      <c r="C18">
        <v>1</v>
      </c>
      <c r="D18">
        <v>0</v>
      </c>
      <c r="E18">
        <v>5</v>
      </c>
      <c r="F18">
        <v>1</v>
      </c>
    </row>
    <row r="19" spans="1:9" x14ac:dyDescent="0.35">
      <c r="A19" t="s">
        <v>0</v>
      </c>
      <c r="B19" t="s">
        <v>17</v>
      </c>
      <c r="C19">
        <v>1</v>
      </c>
      <c r="D19">
        <v>-9</v>
      </c>
      <c r="E19">
        <v>3.0037037037037</v>
      </c>
      <c r="G19">
        <v>1</v>
      </c>
    </row>
    <row r="20" spans="1:9" x14ac:dyDescent="0.35">
      <c r="A20" t="s">
        <v>0</v>
      </c>
      <c r="B20" t="s">
        <v>17</v>
      </c>
      <c r="C20">
        <v>0</v>
      </c>
      <c r="D20">
        <v>0</v>
      </c>
      <c r="E20">
        <v>5</v>
      </c>
      <c r="I20">
        <v>1</v>
      </c>
    </row>
    <row r="21" spans="1:9" x14ac:dyDescent="0.35">
      <c r="A21" t="s">
        <v>0</v>
      </c>
      <c r="B21" t="s">
        <v>16</v>
      </c>
      <c r="C21">
        <v>1</v>
      </c>
      <c r="D21">
        <v>0</v>
      </c>
      <c r="E21">
        <v>5</v>
      </c>
      <c r="F21">
        <v>1</v>
      </c>
    </row>
    <row r="22" spans="1:9" x14ac:dyDescent="0.35">
      <c r="A22" t="s">
        <v>0</v>
      </c>
      <c r="B22" t="s">
        <v>17</v>
      </c>
      <c r="C22">
        <v>1</v>
      </c>
      <c r="D22">
        <v>-8</v>
      </c>
      <c r="E22">
        <v>5</v>
      </c>
      <c r="G22">
        <v>1</v>
      </c>
    </row>
    <row r="23" spans="1:9" x14ac:dyDescent="0.35">
      <c r="A23" t="s">
        <v>0</v>
      </c>
      <c r="B23" t="s">
        <v>16</v>
      </c>
      <c r="C23">
        <v>1</v>
      </c>
      <c r="D23">
        <v>0</v>
      </c>
      <c r="E23">
        <v>5</v>
      </c>
      <c r="F23">
        <v>1</v>
      </c>
    </row>
    <row r="24" spans="1:9" x14ac:dyDescent="0.35">
      <c r="A24" t="s">
        <v>10</v>
      </c>
      <c r="B24" t="s">
        <v>17</v>
      </c>
      <c r="C24">
        <v>1</v>
      </c>
      <c r="D24">
        <v>3</v>
      </c>
      <c r="E24">
        <v>5</v>
      </c>
      <c r="G24">
        <v>1</v>
      </c>
    </row>
    <row r="25" spans="1:9" x14ac:dyDescent="0.35">
      <c r="A25" t="s">
        <v>10</v>
      </c>
      <c r="B25" t="s">
        <v>17</v>
      </c>
      <c r="C25">
        <v>1</v>
      </c>
      <c r="D25">
        <v>-8</v>
      </c>
      <c r="E25">
        <v>5</v>
      </c>
      <c r="G25">
        <v>1</v>
      </c>
    </row>
    <row r="26" spans="1:9" x14ac:dyDescent="0.35">
      <c r="A26" t="s">
        <v>10</v>
      </c>
      <c r="B26" t="s">
        <v>17</v>
      </c>
      <c r="C26">
        <v>1</v>
      </c>
      <c r="D26">
        <v>5</v>
      </c>
      <c r="E26">
        <v>5</v>
      </c>
      <c r="G26">
        <v>1</v>
      </c>
    </row>
    <row r="27" spans="1:9" x14ac:dyDescent="0.35">
      <c r="A27" t="s">
        <v>10</v>
      </c>
      <c r="B27" t="s">
        <v>16</v>
      </c>
      <c r="C27">
        <v>1</v>
      </c>
      <c r="D27">
        <v>0</v>
      </c>
      <c r="E27">
        <v>5</v>
      </c>
      <c r="F27">
        <v>1</v>
      </c>
    </row>
    <row r="28" spans="1:9" x14ac:dyDescent="0.35">
      <c r="A28" t="s">
        <v>10</v>
      </c>
      <c r="B28" t="s">
        <v>16</v>
      </c>
      <c r="C28">
        <v>1</v>
      </c>
      <c r="D28">
        <v>0</v>
      </c>
      <c r="E28">
        <v>4.0037037037037004</v>
      </c>
      <c r="F28">
        <v>1</v>
      </c>
    </row>
    <row r="29" spans="1:9" x14ac:dyDescent="0.35">
      <c r="A29" t="s">
        <v>10</v>
      </c>
      <c r="B29" t="s">
        <v>16</v>
      </c>
      <c r="C29">
        <v>1</v>
      </c>
      <c r="D29">
        <v>0</v>
      </c>
      <c r="E29">
        <v>5</v>
      </c>
      <c r="F29">
        <v>1</v>
      </c>
    </row>
    <row r="30" spans="1:9" x14ac:dyDescent="0.35">
      <c r="A30" t="s">
        <v>10</v>
      </c>
      <c r="B30" t="s">
        <v>17</v>
      </c>
      <c r="C30">
        <v>1</v>
      </c>
      <c r="D30">
        <v>-4</v>
      </c>
      <c r="E30">
        <v>5</v>
      </c>
      <c r="G30">
        <v>1</v>
      </c>
    </row>
    <row r="31" spans="1:9" x14ac:dyDescent="0.35">
      <c r="A31" t="s">
        <v>10</v>
      </c>
      <c r="B31" t="s">
        <v>16</v>
      </c>
      <c r="C31">
        <v>1</v>
      </c>
      <c r="D31">
        <v>0</v>
      </c>
      <c r="E31">
        <v>5</v>
      </c>
      <c r="F31">
        <v>1</v>
      </c>
    </row>
    <row r="32" spans="1:9" x14ac:dyDescent="0.35">
      <c r="A32" t="s">
        <v>10</v>
      </c>
      <c r="B32" t="s">
        <v>17</v>
      </c>
      <c r="C32">
        <v>1</v>
      </c>
      <c r="D32">
        <v>4</v>
      </c>
      <c r="E32">
        <v>5</v>
      </c>
      <c r="G32">
        <v>1</v>
      </c>
    </row>
    <row r="33" spans="1:9" x14ac:dyDescent="0.35">
      <c r="A33" t="s">
        <v>10</v>
      </c>
      <c r="B33" t="s">
        <v>17</v>
      </c>
      <c r="C33">
        <v>0</v>
      </c>
      <c r="D33">
        <v>0</v>
      </c>
      <c r="E33">
        <v>3.9925925925925898</v>
      </c>
      <c r="I33">
        <v>1</v>
      </c>
    </row>
    <row r="34" spans="1:9" x14ac:dyDescent="0.35">
      <c r="A34" t="s">
        <v>10</v>
      </c>
      <c r="B34" t="s">
        <v>16</v>
      </c>
      <c r="C34">
        <v>1</v>
      </c>
      <c r="D34">
        <v>0</v>
      </c>
      <c r="E34">
        <v>4.0111111111111102</v>
      </c>
      <c r="F34">
        <v>1</v>
      </c>
    </row>
    <row r="35" spans="1:9" x14ac:dyDescent="0.35">
      <c r="A35" t="s">
        <v>2</v>
      </c>
      <c r="B35" t="s">
        <v>17</v>
      </c>
      <c r="C35">
        <v>1</v>
      </c>
      <c r="D35">
        <v>7</v>
      </c>
      <c r="E35">
        <v>5</v>
      </c>
      <c r="G35">
        <v>1</v>
      </c>
    </row>
    <row r="36" spans="1:9" x14ac:dyDescent="0.35">
      <c r="A36" t="s">
        <v>2</v>
      </c>
      <c r="B36" t="s">
        <v>17</v>
      </c>
      <c r="C36">
        <v>1</v>
      </c>
      <c r="D36">
        <v>-4</v>
      </c>
      <c r="E36">
        <v>5</v>
      </c>
      <c r="G36">
        <v>1</v>
      </c>
    </row>
    <row r="37" spans="1:9" x14ac:dyDescent="0.35">
      <c r="A37" t="s">
        <v>2</v>
      </c>
      <c r="B37" t="s">
        <v>16</v>
      </c>
      <c r="C37">
        <v>1</v>
      </c>
      <c r="D37">
        <v>0</v>
      </c>
      <c r="E37">
        <v>5</v>
      </c>
      <c r="F37">
        <v>1</v>
      </c>
    </row>
    <row r="38" spans="1:9" x14ac:dyDescent="0.35">
      <c r="A38" t="s">
        <v>2</v>
      </c>
      <c r="B38" t="s">
        <v>16</v>
      </c>
      <c r="C38">
        <v>1</v>
      </c>
      <c r="D38">
        <v>0</v>
      </c>
      <c r="E38">
        <v>5</v>
      </c>
      <c r="F38">
        <v>1</v>
      </c>
    </row>
    <row r="39" spans="1:9" x14ac:dyDescent="0.35">
      <c r="A39" t="s">
        <v>2</v>
      </c>
      <c r="B39" t="s">
        <v>17</v>
      </c>
      <c r="C39">
        <v>1</v>
      </c>
      <c r="D39">
        <v>7</v>
      </c>
      <c r="E39">
        <v>5</v>
      </c>
      <c r="G39">
        <v>1</v>
      </c>
    </row>
    <row r="40" spans="1:9" x14ac:dyDescent="0.35">
      <c r="A40" t="s">
        <v>2</v>
      </c>
      <c r="B40" t="s">
        <v>17</v>
      </c>
      <c r="C40">
        <v>1</v>
      </c>
      <c r="D40">
        <v>-7</v>
      </c>
      <c r="E40">
        <v>5</v>
      </c>
      <c r="G40">
        <v>1</v>
      </c>
    </row>
    <row r="41" spans="1:9" x14ac:dyDescent="0.35">
      <c r="A41" t="s">
        <v>2</v>
      </c>
      <c r="B41" t="s">
        <v>17</v>
      </c>
      <c r="C41">
        <v>1</v>
      </c>
      <c r="D41">
        <v>-10</v>
      </c>
      <c r="E41">
        <v>5</v>
      </c>
      <c r="G41">
        <v>1</v>
      </c>
    </row>
    <row r="42" spans="1:9" x14ac:dyDescent="0.35">
      <c r="A42" t="s">
        <v>2</v>
      </c>
      <c r="B42" t="s">
        <v>16</v>
      </c>
      <c r="C42">
        <v>0</v>
      </c>
      <c r="D42">
        <v>-1</v>
      </c>
      <c r="E42">
        <v>5</v>
      </c>
      <c r="H42">
        <v>1</v>
      </c>
    </row>
    <row r="43" spans="1:9" x14ac:dyDescent="0.35">
      <c r="A43" t="s">
        <v>2</v>
      </c>
      <c r="B43" t="s">
        <v>17</v>
      </c>
      <c r="C43">
        <v>1</v>
      </c>
      <c r="D43">
        <v>-10</v>
      </c>
      <c r="E43">
        <v>3</v>
      </c>
      <c r="G43">
        <v>1</v>
      </c>
    </row>
    <row r="44" spans="1:9" x14ac:dyDescent="0.35">
      <c r="A44" t="s">
        <v>2</v>
      </c>
      <c r="B44" t="s">
        <v>16</v>
      </c>
      <c r="C44">
        <v>1</v>
      </c>
      <c r="D44">
        <v>0</v>
      </c>
      <c r="E44">
        <v>5</v>
      </c>
      <c r="F44">
        <v>1</v>
      </c>
    </row>
    <row r="45" spans="1:9" x14ac:dyDescent="0.35">
      <c r="A45" t="s">
        <v>2</v>
      </c>
      <c r="B45" t="s">
        <v>17</v>
      </c>
      <c r="C45">
        <v>1</v>
      </c>
      <c r="D45">
        <v>-7</v>
      </c>
      <c r="E45">
        <v>5</v>
      </c>
      <c r="G45">
        <v>1</v>
      </c>
    </row>
    <row r="46" spans="1:9" x14ac:dyDescent="0.35">
      <c r="A46" t="s">
        <v>5</v>
      </c>
      <c r="B46" t="s">
        <v>17</v>
      </c>
      <c r="C46">
        <v>1</v>
      </c>
      <c r="D46">
        <v>-8</v>
      </c>
      <c r="E46">
        <v>5</v>
      </c>
      <c r="G46">
        <v>1</v>
      </c>
    </row>
    <row r="47" spans="1:9" x14ac:dyDescent="0.35">
      <c r="A47" t="s">
        <v>5</v>
      </c>
      <c r="B47" t="s">
        <v>17</v>
      </c>
      <c r="C47">
        <v>0</v>
      </c>
      <c r="D47">
        <v>0</v>
      </c>
      <c r="E47">
        <v>3.0259259259259199</v>
      </c>
      <c r="I47">
        <v>1</v>
      </c>
    </row>
    <row r="48" spans="1:9" x14ac:dyDescent="0.35">
      <c r="A48" t="s">
        <v>5</v>
      </c>
      <c r="B48" t="s">
        <v>17</v>
      </c>
      <c r="C48">
        <v>1</v>
      </c>
      <c r="D48">
        <v>6</v>
      </c>
      <c r="E48">
        <v>5</v>
      </c>
      <c r="G48">
        <v>1</v>
      </c>
    </row>
    <row r="49" spans="1:9" x14ac:dyDescent="0.35">
      <c r="A49" t="s">
        <v>5</v>
      </c>
      <c r="B49" t="s">
        <v>17</v>
      </c>
      <c r="C49">
        <v>1</v>
      </c>
      <c r="D49">
        <v>4</v>
      </c>
      <c r="E49">
        <v>5</v>
      </c>
      <c r="G49">
        <v>1</v>
      </c>
    </row>
    <row r="50" spans="1:9" x14ac:dyDescent="0.35">
      <c r="A50" t="s">
        <v>5</v>
      </c>
      <c r="B50" t="s">
        <v>17</v>
      </c>
      <c r="C50">
        <v>1</v>
      </c>
      <c r="D50">
        <v>-8</v>
      </c>
      <c r="E50">
        <v>3.9962962962962898</v>
      </c>
      <c r="G50">
        <v>1</v>
      </c>
    </row>
    <row r="51" spans="1:9" x14ac:dyDescent="0.35">
      <c r="A51" t="s">
        <v>5</v>
      </c>
      <c r="B51" t="s">
        <v>17</v>
      </c>
      <c r="C51">
        <v>1</v>
      </c>
      <c r="D51">
        <v>8</v>
      </c>
      <c r="E51">
        <v>5</v>
      </c>
      <c r="G51">
        <v>1</v>
      </c>
    </row>
    <row r="52" spans="1:9" x14ac:dyDescent="0.35">
      <c r="A52" t="s">
        <v>5</v>
      </c>
      <c r="B52" t="s">
        <v>17</v>
      </c>
      <c r="C52">
        <v>1</v>
      </c>
      <c r="D52">
        <v>9</v>
      </c>
      <c r="E52">
        <v>5</v>
      </c>
      <c r="G52">
        <v>1</v>
      </c>
    </row>
    <row r="53" spans="1:9" x14ac:dyDescent="0.35">
      <c r="A53" t="s">
        <v>5</v>
      </c>
      <c r="B53" t="s">
        <v>16</v>
      </c>
      <c r="C53">
        <v>1</v>
      </c>
      <c r="D53">
        <v>0</v>
      </c>
      <c r="E53">
        <v>5</v>
      </c>
      <c r="F53">
        <v>1</v>
      </c>
    </row>
    <row r="54" spans="1:9" x14ac:dyDescent="0.35">
      <c r="A54" t="s">
        <v>5</v>
      </c>
      <c r="B54" t="s">
        <v>16</v>
      </c>
      <c r="C54">
        <v>1</v>
      </c>
      <c r="D54">
        <v>0</v>
      </c>
      <c r="E54">
        <v>5</v>
      </c>
      <c r="F54">
        <v>1</v>
      </c>
    </row>
    <row r="55" spans="1:9" x14ac:dyDescent="0.35">
      <c r="A55" t="s">
        <v>5</v>
      </c>
      <c r="B55" t="s">
        <v>16</v>
      </c>
      <c r="C55">
        <v>1</v>
      </c>
      <c r="D55">
        <v>0</v>
      </c>
      <c r="E55">
        <v>5</v>
      </c>
      <c r="F55">
        <v>1</v>
      </c>
    </row>
    <row r="56" spans="1:9" x14ac:dyDescent="0.35">
      <c r="A56" t="s">
        <v>5</v>
      </c>
      <c r="B56" t="s">
        <v>16</v>
      </c>
      <c r="C56">
        <v>0</v>
      </c>
      <c r="D56">
        <v>-1</v>
      </c>
      <c r="E56">
        <v>5</v>
      </c>
      <c r="H56">
        <v>1</v>
      </c>
    </row>
    <row r="57" spans="1:9" x14ac:dyDescent="0.35">
      <c r="A57" t="s">
        <v>9</v>
      </c>
      <c r="B57" t="s">
        <v>17</v>
      </c>
      <c r="C57">
        <v>1</v>
      </c>
      <c r="D57">
        <v>-9</v>
      </c>
      <c r="E57">
        <v>3.9777777777777699</v>
      </c>
      <c r="G57">
        <v>1</v>
      </c>
    </row>
    <row r="58" spans="1:9" x14ac:dyDescent="0.35">
      <c r="A58" t="s">
        <v>9</v>
      </c>
      <c r="B58" t="s">
        <v>17</v>
      </c>
      <c r="C58">
        <v>1</v>
      </c>
      <c r="D58">
        <v>9</v>
      </c>
      <c r="E58">
        <v>5</v>
      </c>
      <c r="G58">
        <v>1</v>
      </c>
    </row>
    <row r="59" spans="1:9" x14ac:dyDescent="0.35">
      <c r="A59" t="s">
        <v>9</v>
      </c>
      <c r="B59" t="s">
        <v>16</v>
      </c>
      <c r="C59">
        <v>0</v>
      </c>
      <c r="D59">
        <v>0</v>
      </c>
      <c r="E59">
        <v>5</v>
      </c>
      <c r="I59">
        <v>1</v>
      </c>
    </row>
    <row r="60" spans="1:9" x14ac:dyDescent="0.35">
      <c r="A60" t="s">
        <v>9</v>
      </c>
      <c r="B60" t="s">
        <v>17</v>
      </c>
      <c r="C60">
        <v>1</v>
      </c>
      <c r="D60">
        <v>-8</v>
      </c>
      <c r="E60">
        <v>5</v>
      </c>
      <c r="G60">
        <v>1</v>
      </c>
    </row>
    <row r="61" spans="1:9" x14ac:dyDescent="0.35">
      <c r="A61" t="s">
        <v>9</v>
      </c>
      <c r="B61" t="s">
        <v>17</v>
      </c>
      <c r="C61">
        <v>1</v>
      </c>
      <c r="D61">
        <v>4</v>
      </c>
      <c r="E61">
        <v>5</v>
      </c>
      <c r="G61">
        <v>1</v>
      </c>
    </row>
    <row r="62" spans="1:9" x14ac:dyDescent="0.35">
      <c r="A62" t="s">
        <v>9</v>
      </c>
      <c r="B62" t="s">
        <v>17</v>
      </c>
      <c r="C62">
        <v>0</v>
      </c>
      <c r="D62">
        <v>0</v>
      </c>
      <c r="E62">
        <v>5</v>
      </c>
      <c r="I62">
        <v>1</v>
      </c>
    </row>
    <row r="63" spans="1:9" x14ac:dyDescent="0.35">
      <c r="A63" t="s">
        <v>9</v>
      </c>
      <c r="B63" t="s">
        <v>16</v>
      </c>
      <c r="C63">
        <v>1</v>
      </c>
      <c r="D63">
        <v>0</v>
      </c>
      <c r="E63">
        <v>5</v>
      </c>
      <c r="F63">
        <v>1</v>
      </c>
    </row>
    <row r="64" spans="1:9" x14ac:dyDescent="0.35">
      <c r="A64" t="s">
        <v>9</v>
      </c>
      <c r="B64" t="s">
        <v>16</v>
      </c>
      <c r="C64">
        <v>1</v>
      </c>
      <c r="D64">
        <v>0</v>
      </c>
      <c r="E64">
        <v>5</v>
      </c>
      <c r="F64">
        <v>1</v>
      </c>
    </row>
    <row r="65" spans="1:21" x14ac:dyDescent="0.35">
      <c r="A65" t="s">
        <v>9</v>
      </c>
      <c r="B65" t="s">
        <v>16</v>
      </c>
      <c r="C65">
        <v>0</v>
      </c>
      <c r="D65">
        <v>0</v>
      </c>
      <c r="E65">
        <v>5</v>
      </c>
      <c r="I65">
        <v>1</v>
      </c>
    </row>
    <row r="66" spans="1:21" x14ac:dyDescent="0.35">
      <c r="A66" t="s">
        <v>9</v>
      </c>
      <c r="B66" t="s">
        <v>16</v>
      </c>
      <c r="C66">
        <v>1</v>
      </c>
      <c r="D66">
        <v>0</v>
      </c>
      <c r="E66">
        <v>5</v>
      </c>
      <c r="F66">
        <v>1</v>
      </c>
    </row>
    <row r="67" spans="1:21" x14ac:dyDescent="0.35">
      <c r="A67" t="s">
        <v>9</v>
      </c>
      <c r="B67" t="s">
        <v>16</v>
      </c>
      <c r="C67">
        <v>1</v>
      </c>
      <c r="D67">
        <v>0</v>
      </c>
      <c r="E67">
        <v>5</v>
      </c>
      <c r="F67">
        <v>1</v>
      </c>
    </row>
    <row r="68" spans="1:21" x14ac:dyDescent="0.35">
      <c r="A68" t="s">
        <v>11</v>
      </c>
      <c r="B68" t="s">
        <v>16</v>
      </c>
      <c r="C68">
        <v>1</v>
      </c>
      <c r="D68">
        <v>0</v>
      </c>
      <c r="E68">
        <v>5</v>
      </c>
      <c r="F68">
        <v>1</v>
      </c>
    </row>
    <row r="69" spans="1:21" x14ac:dyDescent="0.35">
      <c r="A69" t="s">
        <v>11</v>
      </c>
      <c r="B69" t="s">
        <v>16</v>
      </c>
      <c r="C69">
        <v>0</v>
      </c>
      <c r="D69">
        <v>-2</v>
      </c>
      <c r="E69">
        <v>5</v>
      </c>
      <c r="H69">
        <v>1</v>
      </c>
    </row>
    <row r="70" spans="1:21" x14ac:dyDescent="0.35">
      <c r="A70" t="s">
        <v>11</v>
      </c>
      <c r="B70" t="s">
        <v>17</v>
      </c>
      <c r="C70">
        <v>1</v>
      </c>
      <c r="D70">
        <v>6</v>
      </c>
      <c r="E70">
        <v>5</v>
      </c>
      <c r="G70">
        <v>1</v>
      </c>
    </row>
    <row r="71" spans="1:21" x14ac:dyDescent="0.35">
      <c r="A71" t="s">
        <v>11</v>
      </c>
      <c r="B71" t="s">
        <v>16</v>
      </c>
      <c r="C71">
        <v>1</v>
      </c>
      <c r="D71">
        <v>0</v>
      </c>
      <c r="E71">
        <v>3.9925925925925898</v>
      </c>
      <c r="F71">
        <v>1</v>
      </c>
    </row>
    <row r="72" spans="1:21" x14ac:dyDescent="0.35">
      <c r="A72" t="s">
        <v>11</v>
      </c>
      <c r="B72" t="s">
        <v>16</v>
      </c>
      <c r="C72">
        <v>1</v>
      </c>
      <c r="D72">
        <v>0</v>
      </c>
      <c r="E72">
        <v>4.4111111111111097</v>
      </c>
      <c r="F72">
        <v>1</v>
      </c>
    </row>
    <row r="73" spans="1:21" x14ac:dyDescent="0.35">
      <c r="A73" t="s">
        <v>11</v>
      </c>
      <c r="B73" t="s">
        <v>16</v>
      </c>
      <c r="C73">
        <v>1</v>
      </c>
      <c r="D73">
        <v>0</v>
      </c>
      <c r="E73">
        <v>5</v>
      </c>
      <c r="F73">
        <v>1</v>
      </c>
    </row>
    <row r="74" spans="1:21" x14ac:dyDescent="0.35">
      <c r="A74" t="s">
        <v>11</v>
      </c>
      <c r="B74" t="s">
        <v>17</v>
      </c>
      <c r="C74">
        <v>1</v>
      </c>
      <c r="D74">
        <v>-10</v>
      </c>
      <c r="E74">
        <v>5</v>
      </c>
      <c r="G74">
        <v>1</v>
      </c>
    </row>
    <row r="75" spans="1:21" x14ac:dyDescent="0.35">
      <c r="A75" t="s">
        <v>11</v>
      </c>
      <c r="B75" t="s">
        <v>17</v>
      </c>
      <c r="C75">
        <v>0</v>
      </c>
      <c r="D75">
        <v>0</v>
      </c>
      <c r="E75">
        <v>3.98888888888888</v>
      </c>
      <c r="I75">
        <v>1</v>
      </c>
    </row>
    <row r="76" spans="1:21" x14ac:dyDescent="0.35">
      <c r="A76" t="s">
        <v>11</v>
      </c>
      <c r="B76" t="s">
        <v>17</v>
      </c>
      <c r="C76">
        <v>1</v>
      </c>
      <c r="D76">
        <v>0</v>
      </c>
      <c r="E76">
        <v>4.0148148148148097</v>
      </c>
      <c r="F76">
        <v>1</v>
      </c>
      <c r="K76" t="s">
        <v>26</v>
      </c>
      <c r="L76">
        <f>F79/(F79+I79)</f>
        <v>0.72972972972972971</v>
      </c>
      <c r="N76" t="s">
        <v>28</v>
      </c>
      <c r="O76">
        <f>NORMSINV(L76)-NORMSINV(L77)</f>
        <v>1.4536170272725091</v>
      </c>
      <c r="Q76" t="s">
        <v>35</v>
      </c>
      <c r="R76">
        <f>AVERAGE(C2:C78,1,E2:E78)</f>
        <v>2.7425567502986854</v>
      </c>
      <c r="T76" t="s">
        <v>39</v>
      </c>
      <c r="U76">
        <f>R76-R77</f>
        <v>6.4516129032257119E-3</v>
      </c>
    </row>
    <row r="77" spans="1:21" x14ac:dyDescent="0.35">
      <c r="A77" t="s">
        <v>11</v>
      </c>
      <c r="B77" t="s">
        <v>17</v>
      </c>
      <c r="C77">
        <v>0</v>
      </c>
      <c r="D77">
        <v>0</v>
      </c>
      <c r="E77">
        <v>4.0037037037037004</v>
      </c>
      <c r="I77">
        <v>1</v>
      </c>
      <c r="K77" t="s">
        <v>27</v>
      </c>
      <c r="L77">
        <f>H79/(H79+G79)</f>
        <v>0.2</v>
      </c>
      <c r="Q77" t="s">
        <v>33</v>
      </c>
      <c r="R77">
        <f>AVERAGE(C2:C78,0,E2:E78)</f>
        <v>2.7361051373954597</v>
      </c>
      <c r="T77" t="s">
        <v>37</v>
      </c>
      <c r="U77">
        <f>U76/O76</f>
        <v>4.4383168208556147E-3</v>
      </c>
    </row>
    <row r="78" spans="1:21" x14ac:dyDescent="0.35">
      <c r="A78" t="s">
        <v>11</v>
      </c>
      <c r="B78" t="s">
        <v>17</v>
      </c>
      <c r="C78">
        <v>0</v>
      </c>
      <c r="D78">
        <v>0</v>
      </c>
      <c r="E78">
        <v>3.98888888888888</v>
      </c>
      <c r="I78">
        <v>1</v>
      </c>
    </row>
    <row r="79" spans="1:21" x14ac:dyDescent="0.35">
      <c r="E79" t="s">
        <v>25</v>
      </c>
      <c r="F79">
        <f>SUM(F2:F78)</f>
        <v>27</v>
      </c>
      <c r="G79">
        <f t="shared" ref="G79:I79" si="0">SUM(G2:G78)</f>
        <v>32</v>
      </c>
      <c r="H79">
        <f t="shared" si="0"/>
        <v>8</v>
      </c>
      <c r="I79">
        <f t="shared" si="0"/>
        <v>10</v>
      </c>
    </row>
    <row r="80" spans="1:21" x14ac:dyDescent="0.35">
      <c r="A80" t="s">
        <v>3</v>
      </c>
      <c r="B80" t="s">
        <v>17</v>
      </c>
      <c r="C80">
        <v>1</v>
      </c>
      <c r="D80">
        <v>-9</v>
      </c>
      <c r="E80">
        <v>2.0037037037037</v>
      </c>
      <c r="G80">
        <v>1</v>
      </c>
    </row>
    <row r="81" spans="1:9" x14ac:dyDescent="0.35">
      <c r="A81" t="s">
        <v>3</v>
      </c>
      <c r="B81" t="s">
        <v>16</v>
      </c>
      <c r="C81">
        <v>1</v>
      </c>
      <c r="D81">
        <v>0</v>
      </c>
      <c r="E81">
        <v>3.0296296296296199</v>
      </c>
      <c r="F81">
        <v>1</v>
      </c>
    </row>
    <row r="82" spans="1:9" x14ac:dyDescent="0.35">
      <c r="A82" t="s">
        <v>3</v>
      </c>
      <c r="B82" t="s">
        <v>16</v>
      </c>
      <c r="C82">
        <v>1</v>
      </c>
      <c r="D82">
        <v>0</v>
      </c>
      <c r="E82">
        <v>2.98888888888888</v>
      </c>
      <c r="F82">
        <v>1</v>
      </c>
    </row>
    <row r="83" spans="1:9" x14ac:dyDescent="0.35">
      <c r="A83" t="s">
        <v>3</v>
      </c>
      <c r="B83" t="s">
        <v>17</v>
      </c>
      <c r="C83">
        <v>1</v>
      </c>
      <c r="D83">
        <v>-3</v>
      </c>
      <c r="E83">
        <v>2.0111111111111102</v>
      </c>
      <c r="G83">
        <v>1</v>
      </c>
    </row>
    <row r="84" spans="1:9" x14ac:dyDescent="0.35">
      <c r="A84" t="s">
        <v>3</v>
      </c>
      <c r="B84" t="s">
        <v>16</v>
      </c>
      <c r="C84">
        <v>1</v>
      </c>
      <c r="D84">
        <v>0</v>
      </c>
      <c r="E84">
        <v>2</v>
      </c>
      <c r="F84">
        <v>1</v>
      </c>
    </row>
    <row r="85" spans="1:9" x14ac:dyDescent="0.35">
      <c r="A85" t="s">
        <v>3</v>
      </c>
      <c r="B85" t="s">
        <v>17</v>
      </c>
      <c r="C85">
        <v>1</v>
      </c>
      <c r="D85">
        <v>4</v>
      </c>
      <c r="E85">
        <v>2.0111111111111102</v>
      </c>
      <c r="G85">
        <v>1</v>
      </c>
    </row>
    <row r="86" spans="1:9" x14ac:dyDescent="0.35">
      <c r="A86" t="s">
        <v>3</v>
      </c>
      <c r="B86" t="s">
        <v>17</v>
      </c>
      <c r="C86">
        <v>1</v>
      </c>
      <c r="D86">
        <v>1</v>
      </c>
      <c r="E86">
        <v>2.0037037037037</v>
      </c>
      <c r="G86">
        <v>1</v>
      </c>
    </row>
    <row r="87" spans="1:9" x14ac:dyDescent="0.35">
      <c r="A87" t="s">
        <v>3</v>
      </c>
      <c r="B87" t="s">
        <v>17</v>
      </c>
      <c r="C87">
        <v>0</v>
      </c>
      <c r="D87">
        <v>0</v>
      </c>
      <c r="E87">
        <v>3.05185185185185</v>
      </c>
      <c r="I87">
        <v>1</v>
      </c>
    </row>
    <row r="88" spans="1:9" x14ac:dyDescent="0.35">
      <c r="A88" t="s">
        <v>3</v>
      </c>
      <c r="B88" t="s">
        <v>17</v>
      </c>
      <c r="C88">
        <v>1</v>
      </c>
      <c r="D88">
        <v>3</v>
      </c>
      <c r="E88">
        <v>2.9814814814814801</v>
      </c>
      <c r="G88">
        <v>1</v>
      </c>
    </row>
    <row r="89" spans="1:9" x14ac:dyDescent="0.35">
      <c r="A89" t="s">
        <v>3</v>
      </c>
      <c r="B89" t="s">
        <v>17</v>
      </c>
      <c r="C89">
        <v>0</v>
      </c>
      <c r="D89">
        <v>0</v>
      </c>
      <c r="E89">
        <v>1.98888888888888</v>
      </c>
      <c r="I89">
        <v>1</v>
      </c>
    </row>
    <row r="90" spans="1:9" x14ac:dyDescent="0.35">
      <c r="A90" t="s">
        <v>3</v>
      </c>
      <c r="B90" t="s">
        <v>16</v>
      </c>
      <c r="C90">
        <v>1</v>
      </c>
      <c r="D90">
        <v>0</v>
      </c>
      <c r="E90">
        <v>3</v>
      </c>
      <c r="F90">
        <v>1</v>
      </c>
    </row>
    <row r="91" spans="1:9" x14ac:dyDescent="0.35">
      <c r="A91" t="s">
        <v>7</v>
      </c>
      <c r="B91" t="s">
        <v>17</v>
      </c>
      <c r="C91">
        <v>1</v>
      </c>
      <c r="D91">
        <v>-2</v>
      </c>
      <c r="E91">
        <v>1</v>
      </c>
      <c r="G91">
        <v>1</v>
      </c>
    </row>
    <row r="92" spans="1:9" x14ac:dyDescent="0.35">
      <c r="A92" t="s">
        <v>7</v>
      </c>
      <c r="B92" t="s">
        <v>17</v>
      </c>
      <c r="C92">
        <v>1</v>
      </c>
      <c r="D92">
        <v>-8</v>
      </c>
      <c r="E92">
        <v>2.0074074074074</v>
      </c>
      <c r="G92">
        <v>1</v>
      </c>
    </row>
    <row r="93" spans="1:9" x14ac:dyDescent="0.35">
      <c r="A93" t="s">
        <v>7</v>
      </c>
      <c r="B93" t="s">
        <v>16</v>
      </c>
      <c r="C93">
        <v>0</v>
      </c>
      <c r="D93">
        <v>2</v>
      </c>
      <c r="E93">
        <v>3.0148148148148102</v>
      </c>
      <c r="H93">
        <v>1</v>
      </c>
    </row>
    <row r="94" spans="1:9" x14ac:dyDescent="0.35">
      <c r="A94" t="s">
        <v>7</v>
      </c>
      <c r="B94" t="s">
        <v>16</v>
      </c>
      <c r="C94">
        <v>1</v>
      </c>
      <c r="D94">
        <v>0</v>
      </c>
      <c r="E94">
        <v>2.9777777777777699</v>
      </c>
      <c r="F94">
        <v>1</v>
      </c>
    </row>
    <row r="95" spans="1:9" x14ac:dyDescent="0.35">
      <c r="A95" t="s">
        <v>7</v>
      </c>
      <c r="B95" t="s">
        <v>16</v>
      </c>
      <c r="C95">
        <v>0</v>
      </c>
      <c r="D95">
        <v>2</v>
      </c>
      <c r="E95">
        <v>5</v>
      </c>
      <c r="H95">
        <v>1</v>
      </c>
    </row>
    <row r="96" spans="1:9" x14ac:dyDescent="0.35">
      <c r="A96" t="s">
        <v>7</v>
      </c>
      <c r="B96" t="s">
        <v>16</v>
      </c>
      <c r="C96">
        <v>1</v>
      </c>
      <c r="D96">
        <v>0</v>
      </c>
      <c r="E96">
        <v>3.98888888888888</v>
      </c>
      <c r="F96">
        <v>1</v>
      </c>
    </row>
    <row r="97" spans="1:9" x14ac:dyDescent="0.35">
      <c r="A97" t="s">
        <v>7</v>
      </c>
      <c r="B97" t="s">
        <v>16</v>
      </c>
      <c r="C97">
        <v>1</v>
      </c>
      <c r="D97">
        <v>0</v>
      </c>
      <c r="E97">
        <v>3.0037037037037</v>
      </c>
      <c r="F97">
        <v>1</v>
      </c>
    </row>
    <row r="98" spans="1:9" x14ac:dyDescent="0.35">
      <c r="A98" t="s">
        <v>7</v>
      </c>
      <c r="B98" t="s">
        <v>17</v>
      </c>
      <c r="C98">
        <v>1</v>
      </c>
      <c r="D98">
        <v>-1</v>
      </c>
      <c r="E98">
        <v>1.9851851851851801</v>
      </c>
      <c r="G98">
        <v>1</v>
      </c>
    </row>
    <row r="99" spans="1:9" x14ac:dyDescent="0.35">
      <c r="A99" t="s">
        <v>7</v>
      </c>
      <c r="B99" t="s">
        <v>17</v>
      </c>
      <c r="C99">
        <v>0</v>
      </c>
      <c r="D99">
        <v>0</v>
      </c>
      <c r="E99">
        <v>2.98888888888888</v>
      </c>
      <c r="I99">
        <v>1</v>
      </c>
    </row>
    <row r="100" spans="1:9" x14ac:dyDescent="0.35">
      <c r="A100" t="s">
        <v>7</v>
      </c>
      <c r="B100" t="s">
        <v>16</v>
      </c>
      <c r="C100">
        <v>0</v>
      </c>
      <c r="D100">
        <v>-1</v>
      </c>
      <c r="E100">
        <v>4.0074074074074</v>
      </c>
      <c r="H100">
        <v>1</v>
      </c>
    </row>
    <row r="101" spans="1:9" x14ac:dyDescent="0.35">
      <c r="A101" t="s">
        <v>7</v>
      </c>
      <c r="B101" t="s">
        <v>16</v>
      </c>
      <c r="C101">
        <v>0</v>
      </c>
      <c r="D101">
        <v>1</v>
      </c>
      <c r="E101">
        <v>3.0185185185185102</v>
      </c>
      <c r="H101">
        <v>1</v>
      </c>
    </row>
    <row r="102" spans="1:9" x14ac:dyDescent="0.35">
      <c r="A102" t="s">
        <v>6</v>
      </c>
      <c r="B102" t="s">
        <v>17</v>
      </c>
      <c r="C102">
        <v>1</v>
      </c>
      <c r="D102">
        <v>4</v>
      </c>
      <c r="E102">
        <v>2.0037037037037</v>
      </c>
      <c r="G102">
        <v>1</v>
      </c>
    </row>
    <row r="103" spans="1:9" x14ac:dyDescent="0.35">
      <c r="A103" t="s">
        <v>6</v>
      </c>
      <c r="B103" t="s">
        <v>16</v>
      </c>
      <c r="C103">
        <v>1</v>
      </c>
      <c r="D103">
        <v>0</v>
      </c>
      <c r="E103">
        <v>2.9481481481481402</v>
      </c>
      <c r="F103">
        <v>1</v>
      </c>
    </row>
    <row r="104" spans="1:9" x14ac:dyDescent="0.35">
      <c r="A104" t="s">
        <v>6</v>
      </c>
      <c r="B104" t="s">
        <v>16</v>
      </c>
      <c r="C104">
        <v>1</v>
      </c>
      <c r="D104">
        <v>0</v>
      </c>
      <c r="E104">
        <v>3.0074074074074</v>
      </c>
      <c r="F104">
        <v>1</v>
      </c>
    </row>
    <row r="105" spans="1:9" x14ac:dyDescent="0.35">
      <c r="A105" t="s">
        <v>6</v>
      </c>
      <c r="B105" t="s">
        <v>16</v>
      </c>
      <c r="C105">
        <v>1</v>
      </c>
      <c r="D105">
        <v>0</v>
      </c>
      <c r="E105">
        <v>2.9925925925925898</v>
      </c>
      <c r="F105">
        <v>1</v>
      </c>
    </row>
    <row r="106" spans="1:9" x14ac:dyDescent="0.35">
      <c r="A106" t="s">
        <v>6</v>
      </c>
      <c r="B106" t="s">
        <v>17</v>
      </c>
      <c r="C106">
        <v>1</v>
      </c>
      <c r="D106">
        <v>4</v>
      </c>
      <c r="E106">
        <v>1.98888888888888</v>
      </c>
      <c r="G106">
        <v>1</v>
      </c>
    </row>
    <row r="107" spans="1:9" x14ac:dyDescent="0.35">
      <c r="A107" t="s">
        <v>6</v>
      </c>
      <c r="B107" t="s">
        <v>16</v>
      </c>
      <c r="C107">
        <v>0</v>
      </c>
      <c r="D107">
        <v>-2</v>
      </c>
      <c r="E107">
        <v>2.9962962962962898</v>
      </c>
      <c r="H107">
        <v>1</v>
      </c>
    </row>
    <row r="108" spans="1:9" x14ac:dyDescent="0.35">
      <c r="A108" t="s">
        <v>6</v>
      </c>
      <c r="B108" t="s">
        <v>16</v>
      </c>
      <c r="C108">
        <v>1</v>
      </c>
      <c r="D108">
        <v>0</v>
      </c>
      <c r="E108">
        <v>1</v>
      </c>
      <c r="F108">
        <v>1</v>
      </c>
    </row>
    <row r="109" spans="1:9" x14ac:dyDescent="0.35">
      <c r="A109" t="s">
        <v>6</v>
      </c>
      <c r="B109" t="s">
        <v>16</v>
      </c>
      <c r="C109">
        <v>1</v>
      </c>
      <c r="D109">
        <v>0</v>
      </c>
      <c r="E109">
        <v>2.0222222222222199</v>
      </c>
      <c r="F109">
        <v>1</v>
      </c>
    </row>
    <row r="110" spans="1:9" x14ac:dyDescent="0.35">
      <c r="A110" t="s">
        <v>6</v>
      </c>
      <c r="B110" t="s">
        <v>16</v>
      </c>
      <c r="C110">
        <v>1</v>
      </c>
      <c r="D110">
        <v>0</v>
      </c>
      <c r="E110">
        <v>3.0074074074074</v>
      </c>
      <c r="F110">
        <v>1</v>
      </c>
    </row>
    <row r="111" spans="1:9" x14ac:dyDescent="0.35">
      <c r="A111" t="s">
        <v>6</v>
      </c>
      <c r="B111" t="s">
        <v>17</v>
      </c>
      <c r="C111">
        <v>0</v>
      </c>
      <c r="D111">
        <v>0</v>
      </c>
      <c r="E111">
        <v>3.05555555555555</v>
      </c>
      <c r="I111">
        <v>1</v>
      </c>
    </row>
    <row r="112" spans="1:9" x14ac:dyDescent="0.35">
      <c r="A112" t="s">
        <v>6</v>
      </c>
      <c r="B112" t="s">
        <v>17</v>
      </c>
      <c r="C112">
        <v>0</v>
      </c>
      <c r="D112">
        <v>0</v>
      </c>
      <c r="E112">
        <v>1.9222222222222201</v>
      </c>
      <c r="I112">
        <v>1</v>
      </c>
    </row>
    <row r="113" spans="1:8" x14ac:dyDescent="0.35">
      <c r="A113" t="s">
        <v>13</v>
      </c>
      <c r="B113" t="s">
        <v>16</v>
      </c>
      <c r="C113">
        <v>1</v>
      </c>
      <c r="D113">
        <v>0</v>
      </c>
      <c r="E113">
        <v>2.9814814814814801</v>
      </c>
      <c r="F113">
        <v>1</v>
      </c>
    </row>
    <row r="114" spans="1:8" x14ac:dyDescent="0.35">
      <c r="A114" t="s">
        <v>13</v>
      </c>
      <c r="B114" t="s">
        <v>16</v>
      </c>
      <c r="C114">
        <v>1</v>
      </c>
      <c r="D114">
        <v>0</v>
      </c>
      <c r="E114">
        <v>2.98888888888888</v>
      </c>
      <c r="F114">
        <v>1</v>
      </c>
    </row>
    <row r="115" spans="1:8" x14ac:dyDescent="0.35">
      <c r="A115" t="s">
        <v>13</v>
      </c>
      <c r="B115" t="s">
        <v>16</v>
      </c>
      <c r="C115">
        <v>0</v>
      </c>
      <c r="D115">
        <v>1</v>
      </c>
      <c r="E115">
        <v>1.9851851851851801</v>
      </c>
      <c r="H115">
        <v>1</v>
      </c>
    </row>
    <row r="116" spans="1:8" x14ac:dyDescent="0.35">
      <c r="A116" t="s">
        <v>13</v>
      </c>
      <c r="B116" t="s">
        <v>17</v>
      </c>
      <c r="C116">
        <v>1</v>
      </c>
      <c r="D116">
        <v>3</v>
      </c>
      <c r="E116">
        <v>3.0111111111111102</v>
      </c>
      <c r="G116">
        <v>1</v>
      </c>
    </row>
    <row r="117" spans="1:8" x14ac:dyDescent="0.35">
      <c r="A117" t="s">
        <v>13</v>
      </c>
      <c r="B117" t="s">
        <v>16</v>
      </c>
      <c r="C117">
        <v>1</v>
      </c>
      <c r="D117">
        <v>0</v>
      </c>
      <c r="E117">
        <v>2.0185185185185102</v>
      </c>
      <c r="F117">
        <v>1</v>
      </c>
    </row>
    <row r="118" spans="1:8" x14ac:dyDescent="0.35">
      <c r="A118" t="s">
        <v>13</v>
      </c>
      <c r="B118" t="s">
        <v>17</v>
      </c>
      <c r="C118">
        <v>1</v>
      </c>
      <c r="D118">
        <v>-6</v>
      </c>
      <c r="E118">
        <v>3.9962962962962898</v>
      </c>
      <c r="G118">
        <v>1</v>
      </c>
    </row>
    <row r="119" spans="1:8" x14ac:dyDescent="0.35">
      <c r="A119" t="s">
        <v>13</v>
      </c>
      <c r="B119" t="s">
        <v>16</v>
      </c>
      <c r="C119">
        <v>1</v>
      </c>
      <c r="D119">
        <v>0</v>
      </c>
      <c r="E119">
        <v>3</v>
      </c>
      <c r="F119">
        <v>1</v>
      </c>
    </row>
    <row r="120" spans="1:8" x14ac:dyDescent="0.35">
      <c r="A120" t="s">
        <v>13</v>
      </c>
      <c r="B120" t="s">
        <v>16</v>
      </c>
      <c r="C120">
        <v>1</v>
      </c>
      <c r="D120">
        <v>0</v>
      </c>
      <c r="E120">
        <v>2.0037037037037</v>
      </c>
      <c r="F120">
        <v>1</v>
      </c>
    </row>
    <row r="121" spans="1:8" x14ac:dyDescent="0.35">
      <c r="A121" t="s">
        <v>13</v>
      </c>
      <c r="B121" t="s">
        <v>16</v>
      </c>
      <c r="C121">
        <v>1</v>
      </c>
      <c r="D121">
        <v>0</v>
      </c>
      <c r="E121">
        <v>1</v>
      </c>
      <c r="F121">
        <v>1</v>
      </c>
    </row>
    <row r="122" spans="1:8" x14ac:dyDescent="0.35">
      <c r="A122" t="s">
        <v>13</v>
      </c>
      <c r="B122" t="s">
        <v>17</v>
      </c>
      <c r="C122">
        <v>1</v>
      </c>
      <c r="D122">
        <v>-8</v>
      </c>
      <c r="E122">
        <v>2.9962962962962898</v>
      </c>
      <c r="G122">
        <v>1</v>
      </c>
    </row>
    <row r="123" spans="1:8" x14ac:dyDescent="0.35">
      <c r="A123" t="s">
        <v>13</v>
      </c>
      <c r="B123" t="s">
        <v>16</v>
      </c>
      <c r="C123">
        <v>1</v>
      </c>
      <c r="D123">
        <v>0</v>
      </c>
      <c r="E123">
        <v>3</v>
      </c>
      <c r="F123">
        <v>1</v>
      </c>
    </row>
    <row r="124" spans="1:8" x14ac:dyDescent="0.35">
      <c r="A124" t="s">
        <v>12</v>
      </c>
      <c r="B124" t="s">
        <v>17</v>
      </c>
      <c r="C124">
        <v>1</v>
      </c>
      <c r="D124">
        <v>1</v>
      </c>
      <c r="E124">
        <v>1.99629629629629</v>
      </c>
      <c r="G124">
        <v>1</v>
      </c>
    </row>
    <row r="125" spans="1:8" x14ac:dyDescent="0.35">
      <c r="A125" t="s">
        <v>12</v>
      </c>
      <c r="B125" t="s">
        <v>17</v>
      </c>
      <c r="C125">
        <v>1</v>
      </c>
      <c r="D125">
        <v>-9</v>
      </c>
      <c r="E125">
        <v>4.0222222222222204</v>
      </c>
      <c r="G125">
        <v>1</v>
      </c>
    </row>
    <row r="126" spans="1:8" x14ac:dyDescent="0.35">
      <c r="A126" t="s">
        <v>12</v>
      </c>
      <c r="B126" t="s">
        <v>16</v>
      </c>
      <c r="C126">
        <v>1</v>
      </c>
      <c r="D126">
        <v>0</v>
      </c>
      <c r="E126">
        <v>2.98888888888888</v>
      </c>
      <c r="F126">
        <v>1</v>
      </c>
    </row>
    <row r="127" spans="1:8" x14ac:dyDescent="0.35">
      <c r="A127" t="s">
        <v>12</v>
      </c>
      <c r="B127" t="s">
        <v>16</v>
      </c>
      <c r="C127">
        <v>1</v>
      </c>
      <c r="D127">
        <v>0</v>
      </c>
      <c r="E127">
        <v>4.0333333333333297</v>
      </c>
      <c r="F127">
        <v>1</v>
      </c>
    </row>
    <row r="128" spans="1:8" x14ac:dyDescent="0.35">
      <c r="A128" t="s">
        <v>12</v>
      </c>
      <c r="B128" t="s">
        <v>16</v>
      </c>
      <c r="C128">
        <v>1</v>
      </c>
      <c r="D128">
        <v>0</v>
      </c>
      <c r="E128">
        <v>2.9925925925925898</v>
      </c>
      <c r="F128">
        <v>1</v>
      </c>
    </row>
    <row r="129" spans="1:9" x14ac:dyDescent="0.35">
      <c r="A129" t="s">
        <v>12</v>
      </c>
      <c r="B129" t="s">
        <v>17</v>
      </c>
      <c r="C129">
        <v>1</v>
      </c>
      <c r="D129">
        <v>-9</v>
      </c>
      <c r="E129">
        <v>3.0259259259259199</v>
      </c>
      <c r="G129">
        <v>1</v>
      </c>
    </row>
    <row r="130" spans="1:9" x14ac:dyDescent="0.35">
      <c r="A130" t="s">
        <v>12</v>
      </c>
      <c r="B130" t="s">
        <v>17</v>
      </c>
      <c r="C130">
        <v>1</v>
      </c>
      <c r="D130">
        <v>-4</v>
      </c>
      <c r="E130">
        <v>5</v>
      </c>
      <c r="G130">
        <v>1</v>
      </c>
    </row>
    <row r="131" spans="1:9" x14ac:dyDescent="0.35">
      <c r="A131" t="s">
        <v>12</v>
      </c>
      <c r="B131" t="s">
        <v>17</v>
      </c>
      <c r="C131">
        <v>0</v>
      </c>
      <c r="D131">
        <v>0</v>
      </c>
      <c r="E131">
        <v>3.0111111111111102</v>
      </c>
      <c r="I131">
        <v>1</v>
      </c>
    </row>
    <row r="132" spans="1:9" x14ac:dyDescent="0.35">
      <c r="A132" t="s">
        <v>12</v>
      </c>
      <c r="B132" t="s">
        <v>17</v>
      </c>
      <c r="C132">
        <v>1</v>
      </c>
      <c r="D132">
        <v>-2</v>
      </c>
      <c r="E132">
        <v>3.0259259259259199</v>
      </c>
      <c r="G132">
        <v>1</v>
      </c>
    </row>
    <row r="133" spans="1:9" x14ac:dyDescent="0.35">
      <c r="A133" t="s">
        <v>12</v>
      </c>
      <c r="B133" t="s">
        <v>16</v>
      </c>
      <c r="C133">
        <v>1</v>
      </c>
      <c r="D133">
        <v>0</v>
      </c>
      <c r="E133">
        <v>3.0111111111111102</v>
      </c>
      <c r="F133">
        <v>1</v>
      </c>
    </row>
    <row r="134" spans="1:9" x14ac:dyDescent="0.35">
      <c r="A134" t="s">
        <v>12</v>
      </c>
      <c r="B134" t="s">
        <v>17</v>
      </c>
      <c r="C134">
        <v>1</v>
      </c>
      <c r="D134">
        <v>8</v>
      </c>
      <c r="E134">
        <v>2.0296296296296199</v>
      </c>
      <c r="G134">
        <v>1</v>
      </c>
    </row>
    <row r="135" spans="1:9" x14ac:dyDescent="0.35">
      <c r="A135" t="s">
        <v>8</v>
      </c>
      <c r="B135" t="s">
        <v>17</v>
      </c>
      <c r="C135">
        <v>1</v>
      </c>
      <c r="D135">
        <v>-7</v>
      </c>
      <c r="E135">
        <v>3</v>
      </c>
      <c r="G135">
        <v>1</v>
      </c>
    </row>
    <row r="136" spans="1:9" x14ac:dyDescent="0.35">
      <c r="A136" t="s">
        <v>8</v>
      </c>
      <c r="B136" t="s">
        <v>16</v>
      </c>
      <c r="C136">
        <v>0</v>
      </c>
      <c r="D136">
        <v>0</v>
      </c>
      <c r="E136">
        <v>3</v>
      </c>
      <c r="I136">
        <v>1</v>
      </c>
    </row>
    <row r="137" spans="1:9" x14ac:dyDescent="0.35">
      <c r="A137" t="s">
        <v>8</v>
      </c>
      <c r="B137" t="s">
        <v>16</v>
      </c>
      <c r="C137">
        <v>1</v>
      </c>
      <c r="D137">
        <v>0</v>
      </c>
      <c r="E137">
        <v>2</v>
      </c>
      <c r="F137">
        <v>1</v>
      </c>
    </row>
    <row r="138" spans="1:9" x14ac:dyDescent="0.35">
      <c r="A138" t="s">
        <v>8</v>
      </c>
      <c r="B138" t="s">
        <v>17</v>
      </c>
      <c r="C138">
        <v>1</v>
      </c>
      <c r="D138">
        <v>9</v>
      </c>
      <c r="E138">
        <v>1.9666666666666599</v>
      </c>
      <c r="G138">
        <v>1</v>
      </c>
    </row>
    <row r="139" spans="1:9" x14ac:dyDescent="0.35">
      <c r="A139" t="s">
        <v>8</v>
      </c>
      <c r="B139" t="s">
        <v>17</v>
      </c>
      <c r="C139">
        <v>1</v>
      </c>
      <c r="D139">
        <v>-7</v>
      </c>
      <c r="E139">
        <v>3.0037037037037</v>
      </c>
      <c r="G139">
        <v>1</v>
      </c>
    </row>
    <row r="140" spans="1:9" x14ac:dyDescent="0.35">
      <c r="A140" t="s">
        <v>8</v>
      </c>
      <c r="B140" t="s">
        <v>17</v>
      </c>
      <c r="C140">
        <v>1</v>
      </c>
      <c r="D140">
        <v>-3</v>
      </c>
      <c r="E140">
        <v>1</v>
      </c>
      <c r="G140">
        <v>1</v>
      </c>
    </row>
    <row r="141" spans="1:9" x14ac:dyDescent="0.35">
      <c r="A141" t="s">
        <v>8</v>
      </c>
      <c r="B141" t="s">
        <v>17</v>
      </c>
      <c r="C141">
        <v>1</v>
      </c>
      <c r="D141">
        <v>8</v>
      </c>
      <c r="E141">
        <v>2</v>
      </c>
      <c r="G141">
        <v>1</v>
      </c>
    </row>
    <row r="142" spans="1:9" x14ac:dyDescent="0.35">
      <c r="A142" t="s">
        <v>8</v>
      </c>
      <c r="B142" t="s">
        <v>17</v>
      </c>
      <c r="C142">
        <v>1</v>
      </c>
      <c r="D142">
        <v>-6</v>
      </c>
      <c r="E142">
        <v>1.99629629629629</v>
      </c>
      <c r="G142">
        <v>1</v>
      </c>
    </row>
    <row r="143" spans="1:9" x14ac:dyDescent="0.35">
      <c r="A143" t="s">
        <v>8</v>
      </c>
      <c r="B143" t="s">
        <v>16</v>
      </c>
      <c r="C143">
        <v>1</v>
      </c>
      <c r="D143">
        <v>0</v>
      </c>
      <c r="E143">
        <v>1.99259259259259</v>
      </c>
      <c r="F143">
        <v>1</v>
      </c>
    </row>
    <row r="144" spans="1:9" x14ac:dyDescent="0.35">
      <c r="A144" t="s">
        <v>8</v>
      </c>
      <c r="B144" t="s">
        <v>17</v>
      </c>
      <c r="C144">
        <v>1</v>
      </c>
      <c r="D144">
        <v>-5</v>
      </c>
      <c r="E144">
        <v>3</v>
      </c>
      <c r="G144">
        <v>1</v>
      </c>
    </row>
    <row r="145" spans="1:9" x14ac:dyDescent="0.35">
      <c r="A145" t="s">
        <v>8</v>
      </c>
      <c r="B145" t="s">
        <v>16</v>
      </c>
      <c r="C145">
        <v>1</v>
      </c>
      <c r="D145">
        <v>0</v>
      </c>
      <c r="E145">
        <v>3</v>
      </c>
      <c r="F145">
        <v>1</v>
      </c>
    </row>
    <row r="146" spans="1:9" x14ac:dyDescent="0.35">
      <c r="A146" t="s">
        <v>1</v>
      </c>
      <c r="B146" t="s">
        <v>17</v>
      </c>
      <c r="C146">
        <v>1</v>
      </c>
      <c r="D146">
        <v>5</v>
      </c>
      <c r="E146">
        <v>2.9851851851851801</v>
      </c>
      <c r="G146">
        <v>1</v>
      </c>
    </row>
    <row r="147" spans="1:9" x14ac:dyDescent="0.35">
      <c r="A147" t="s">
        <v>1</v>
      </c>
      <c r="B147" t="s">
        <v>16</v>
      </c>
      <c r="C147">
        <v>0</v>
      </c>
      <c r="D147">
        <v>2</v>
      </c>
      <c r="E147">
        <v>1</v>
      </c>
      <c r="H147">
        <v>1</v>
      </c>
    </row>
    <row r="148" spans="1:9" x14ac:dyDescent="0.35">
      <c r="A148" t="s">
        <v>1</v>
      </c>
      <c r="B148" t="s">
        <v>16</v>
      </c>
      <c r="C148">
        <v>1</v>
      </c>
      <c r="D148">
        <v>0</v>
      </c>
      <c r="E148">
        <v>3.0333333333333301</v>
      </c>
      <c r="F148">
        <v>1</v>
      </c>
    </row>
    <row r="149" spans="1:9" x14ac:dyDescent="0.35">
      <c r="A149" t="s">
        <v>1</v>
      </c>
      <c r="B149" t="s">
        <v>16</v>
      </c>
      <c r="C149">
        <v>1</v>
      </c>
      <c r="D149">
        <v>0</v>
      </c>
      <c r="E149">
        <v>2</v>
      </c>
      <c r="F149">
        <v>1</v>
      </c>
    </row>
    <row r="150" spans="1:9" x14ac:dyDescent="0.35">
      <c r="A150" t="s">
        <v>1</v>
      </c>
      <c r="B150" t="s">
        <v>16</v>
      </c>
      <c r="C150">
        <v>1</v>
      </c>
      <c r="D150">
        <v>0</v>
      </c>
      <c r="E150">
        <v>2.0074074074074</v>
      </c>
      <c r="F150">
        <v>1</v>
      </c>
    </row>
    <row r="151" spans="1:9" x14ac:dyDescent="0.35">
      <c r="A151" t="s">
        <v>1</v>
      </c>
      <c r="B151" t="s">
        <v>17</v>
      </c>
      <c r="C151">
        <v>1</v>
      </c>
      <c r="D151">
        <v>9</v>
      </c>
      <c r="E151">
        <v>2.98888888888888</v>
      </c>
      <c r="G151">
        <v>1</v>
      </c>
    </row>
    <row r="152" spans="1:9" x14ac:dyDescent="0.35">
      <c r="A152" t="s">
        <v>1</v>
      </c>
      <c r="B152" t="s">
        <v>17</v>
      </c>
      <c r="C152">
        <v>1</v>
      </c>
      <c r="D152">
        <v>-6</v>
      </c>
      <c r="E152">
        <v>2</v>
      </c>
      <c r="G152">
        <v>1</v>
      </c>
    </row>
    <row r="153" spans="1:9" x14ac:dyDescent="0.35">
      <c r="A153" t="s">
        <v>1</v>
      </c>
      <c r="B153" t="s">
        <v>17</v>
      </c>
      <c r="C153">
        <v>1</v>
      </c>
      <c r="D153">
        <v>-5</v>
      </c>
      <c r="E153">
        <v>2.9814814814814801</v>
      </c>
      <c r="G153">
        <v>1</v>
      </c>
    </row>
    <row r="154" spans="1:9" x14ac:dyDescent="0.35">
      <c r="A154" t="s">
        <v>1</v>
      </c>
      <c r="B154" t="s">
        <v>16</v>
      </c>
      <c r="C154">
        <v>1</v>
      </c>
      <c r="D154">
        <v>0</v>
      </c>
      <c r="E154">
        <v>3.0037037037037</v>
      </c>
      <c r="F154">
        <v>1</v>
      </c>
    </row>
    <row r="155" spans="1:9" x14ac:dyDescent="0.35">
      <c r="A155" t="s">
        <v>1</v>
      </c>
      <c r="B155" t="s">
        <v>16</v>
      </c>
      <c r="C155">
        <v>1</v>
      </c>
      <c r="D155">
        <v>0</v>
      </c>
      <c r="E155">
        <v>1</v>
      </c>
      <c r="F155">
        <v>1</v>
      </c>
    </row>
    <row r="156" spans="1:9" x14ac:dyDescent="0.35">
      <c r="A156" t="s">
        <v>1</v>
      </c>
      <c r="B156" t="s">
        <v>17</v>
      </c>
      <c r="C156">
        <v>1</v>
      </c>
      <c r="D156">
        <v>-10</v>
      </c>
      <c r="E156">
        <v>3.0185185185185102</v>
      </c>
      <c r="G156">
        <v>1</v>
      </c>
    </row>
    <row r="157" spans="1:9" x14ac:dyDescent="0.35">
      <c r="E157" t="s">
        <v>25</v>
      </c>
      <c r="F157">
        <f>SUM(F80:F156)</f>
        <v>32</v>
      </c>
      <c r="G157">
        <f t="shared" ref="G157:H157" si="1">SUM(G80:G156)</f>
        <v>31</v>
      </c>
      <c r="H157">
        <f t="shared" si="1"/>
        <v>7</v>
      </c>
      <c r="I157">
        <f>SUM(I80:I156)</f>
        <v>7</v>
      </c>
    </row>
    <row r="159" spans="1:9" x14ac:dyDescent="0.35">
      <c r="E159" t="s">
        <v>26</v>
      </c>
      <c r="F159">
        <f>F157/(F157+I157)</f>
        <v>0.82051282051282048</v>
      </c>
      <c r="H159" t="s">
        <v>28</v>
      </c>
      <c r="I159">
        <f>NORMSINV(F159)-NORMSINV(F160)</f>
        <v>1.816756093286463</v>
      </c>
    </row>
    <row r="160" spans="1:9" x14ac:dyDescent="0.35">
      <c r="E160" t="s">
        <v>27</v>
      </c>
      <c r="F160">
        <f>H157/(H157+G157)</f>
        <v>0.18421052631578946</v>
      </c>
    </row>
    <row r="162" spans="5:6" x14ac:dyDescent="0.35">
      <c r="E162" t="s">
        <v>29</v>
      </c>
      <c r="F162">
        <f>AVERAGE(C80:C156,1,E80:E156)</f>
        <v>1.7232497013142161</v>
      </c>
    </row>
    <row r="163" spans="5:6" x14ac:dyDescent="0.35">
      <c r="E163" t="s">
        <v>30</v>
      </c>
      <c r="F163">
        <f>AVERAGE(C80:C156,0,E80:E156)</f>
        <v>1.7167980884109904</v>
      </c>
    </row>
    <row r="165" spans="5:6" x14ac:dyDescent="0.35">
      <c r="E165" t="s">
        <v>39</v>
      </c>
      <c r="F165">
        <f>F162-F163</f>
        <v>6.4516129032257119E-3</v>
      </c>
    </row>
    <row r="166" spans="5:6" x14ac:dyDescent="0.35">
      <c r="E166" t="s">
        <v>37</v>
      </c>
      <c r="F166">
        <f>F165/I159</f>
        <v>3.5511717434534192E-3</v>
      </c>
    </row>
  </sheetData>
  <sortState xmlns:xlrd2="http://schemas.microsoft.com/office/spreadsheetml/2017/richdata2" ref="A1:I157">
    <sortCondition ref="A1:A15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5790-6EA0-4DD5-A0DD-9410DF4C3C3D}">
  <dimension ref="A1:T167"/>
  <sheetViews>
    <sheetView tabSelected="1" topLeftCell="A166" workbookViewId="0">
      <selection activeCell="E176" sqref="E176"/>
    </sheetView>
  </sheetViews>
  <sheetFormatPr defaultRowHeight="14.5" x14ac:dyDescent="0.35"/>
  <cols>
    <col min="1" max="1" width="19.08984375" customWidth="1"/>
    <col min="3" max="3" width="12" customWidth="1"/>
    <col min="5" max="5" width="14.26953125" customWidth="1"/>
  </cols>
  <sheetData>
    <row r="1" spans="1:9" x14ac:dyDescent="0.35">
      <c r="A1" t="s">
        <v>24</v>
      </c>
      <c r="B1" t="s">
        <v>14</v>
      </c>
      <c r="C1" t="s">
        <v>15</v>
      </c>
      <c r="D1" t="s">
        <v>23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35">
      <c r="A2" t="s">
        <v>4</v>
      </c>
      <c r="B2" t="s">
        <v>17</v>
      </c>
      <c r="C2">
        <v>1</v>
      </c>
      <c r="D2">
        <v>8</v>
      </c>
      <c r="E2">
        <v>5</v>
      </c>
      <c r="G2">
        <v>1</v>
      </c>
    </row>
    <row r="3" spans="1:9" x14ac:dyDescent="0.35">
      <c r="A3" t="s">
        <v>4</v>
      </c>
      <c r="B3" t="s">
        <v>17</v>
      </c>
      <c r="C3">
        <v>1</v>
      </c>
      <c r="D3">
        <v>9</v>
      </c>
      <c r="E3">
        <v>5</v>
      </c>
      <c r="G3">
        <v>1</v>
      </c>
    </row>
    <row r="4" spans="1:9" x14ac:dyDescent="0.35">
      <c r="A4" t="s">
        <v>4</v>
      </c>
      <c r="B4" t="s">
        <v>17</v>
      </c>
      <c r="C4">
        <v>0</v>
      </c>
      <c r="D4">
        <v>0</v>
      </c>
      <c r="E4">
        <v>5</v>
      </c>
      <c r="I4">
        <v>1</v>
      </c>
    </row>
    <row r="5" spans="1:9" x14ac:dyDescent="0.35">
      <c r="A5" t="s">
        <v>4</v>
      </c>
      <c r="B5" t="s">
        <v>16</v>
      </c>
      <c r="C5">
        <v>1</v>
      </c>
      <c r="D5">
        <v>0</v>
      </c>
      <c r="E5">
        <v>5</v>
      </c>
      <c r="F5">
        <v>1</v>
      </c>
    </row>
    <row r="6" spans="1:9" x14ac:dyDescent="0.35">
      <c r="A6" t="s">
        <v>4</v>
      </c>
      <c r="B6" t="s">
        <v>16</v>
      </c>
      <c r="C6">
        <v>0</v>
      </c>
      <c r="D6">
        <v>0</v>
      </c>
      <c r="E6">
        <v>5</v>
      </c>
      <c r="I6">
        <v>1</v>
      </c>
    </row>
    <row r="7" spans="1:9" x14ac:dyDescent="0.35">
      <c r="A7" t="s">
        <v>4</v>
      </c>
      <c r="B7" t="s">
        <v>16</v>
      </c>
      <c r="C7">
        <v>0</v>
      </c>
      <c r="D7">
        <v>1</v>
      </c>
      <c r="E7">
        <v>5</v>
      </c>
      <c r="H7">
        <v>1</v>
      </c>
    </row>
    <row r="8" spans="1:9" x14ac:dyDescent="0.35">
      <c r="A8" t="s">
        <v>4</v>
      </c>
      <c r="B8" t="s">
        <v>17</v>
      </c>
      <c r="C8">
        <v>0</v>
      </c>
      <c r="D8">
        <v>0</v>
      </c>
      <c r="E8">
        <v>5</v>
      </c>
      <c r="I8">
        <v>1</v>
      </c>
    </row>
    <row r="9" spans="1:9" x14ac:dyDescent="0.35">
      <c r="A9" t="s">
        <v>4</v>
      </c>
      <c r="B9" t="s">
        <v>16</v>
      </c>
      <c r="C9">
        <v>1</v>
      </c>
      <c r="D9">
        <v>0</v>
      </c>
      <c r="E9">
        <v>5</v>
      </c>
      <c r="F9">
        <v>1</v>
      </c>
    </row>
    <row r="10" spans="1:9" x14ac:dyDescent="0.35">
      <c r="A10" t="s">
        <v>4</v>
      </c>
      <c r="B10" t="s">
        <v>16</v>
      </c>
      <c r="C10">
        <v>1</v>
      </c>
      <c r="D10">
        <v>0</v>
      </c>
      <c r="E10">
        <v>5</v>
      </c>
      <c r="F10">
        <v>1</v>
      </c>
    </row>
    <row r="11" spans="1:9" x14ac:dyDescent="0.35">
      <c r="A11" t="s">
        <v>4</v>
      </c>
      <c r="B11" t="s">
        <v>16</v>
      </c>
      <c r="C11">
        <v>0</v>
      </c>
      <c r="D11">
        <v>0</v>
      </c>
      <c r="E11">
        <v>4.0777777777777704</v>
      </c>
      <c r="I11">
        <v>1</v>
      </c>
    </row>
    <row r="12" spans="1:9" x14ac:dyDescent="0.35">
      <c r="A12" t="s">
        <v>4</v>
      </c>
      <c r="B12" t="s">
        <v>16</v>
      </c>
      <c r="C12">
        <v>0</v>
      </c>
      <c r="D12">
        <v>-2</v>
      </c>
      <c r="E12">
        <v>2.9777777777777699</v>
      </c>
      <c r="H12">
        <v>1</v>
      </c>
    </row>
    <row r="13" spans="1:9" x14ac:dyDescent="0.35">
      <c r="A13" t="s">
        <v>0</v>
      </c>
      <c r="B13" t="s">
        <v>16</v>
      </c>
      <c r="C13">
        <v>1</v>
      </c>
      <c r="D13">
        <v>0</v>
      </c>
      <c r="E13">
        <v>5</v>
      </c>
      <c r="F13">
        <v>1</v>
      </c>
    </row>
    <row r="14" spans="1:9" x14ac:dyDescent="0.35">
      <c r="A14" t="s">
        <v>0</v>
      </c>
      <c r="B14" t="s">
        <v>16</v>
      </c>
      <c r="C14">
        <v>1</v>
      </c>
      <c r="D14">
        <v>0</v>
      </c>
      <c r="E14">
        <v>5</v>
      </c>
      <c r="F14">
        <v>1</v>
      </c>
    </row>
    <row r="15" spans="1:9" x14ac:dyDescent="0.35">
      <c r="A15" t="s">
        <v>0</v>
      </c>
      <c r="B15" t="s">
        <v>17</v>
      </c>
      <c r="C15">
        <v>1</v>
      </c>
      <c r="D15">
        <v>1</v>
      </c>
      <c r="E15">
        <v>5</v>
      </c>
      <c r="G15">
        <v>1</v>
      </c>
    </row>
    <row r="16" spans="1:9" x14ac:dyDescent="0.35">
      <c r="A16" t="s">
        <v>0</v>
      </c>
      <c r="B16" t="s">
        <v>17</v>
      </c>
      <c r="C16">
        <v>1</v>
      </c>
      <c r="D16">
        <v>-8</v>
      </c>
      <c r="E16">
        <v>5</v>
      </c>
      <c r="G16">
        <v>1</v>
      </c>
    </row>
    <row r="17" spans="1:9" x14ac:dyDescent="0.35">
      <c r="A17" t="s">
        <v>0</v>
      </c>
      <c r="B17" t="s">
        <v>16</v>
      </c>
      <c r="C17">
        <v>1</v>
      </c>
      <c r="D17">
        <v>0</v>
      </c>
      <c r="E17">
        <v>5</v>
      </c>
      <c r="F17">
        <v>1</v>
      </c>
    </row>
    <row r="18" spans="1:9" x14ac:dyDescent="0.35">
      <c r="A18" t="s">
        <v>0</v>
      </c>
      <c r="B18" t="s">
        <v>17</v>
      </c>
      <c r="C18">
        <v>1</v>
      </c>
      <c r="D18">
        <v>3</v>
      </c>
      <c r="E18">
        <v>5</v>
      </c>
      <c r="G18">
        <v>1</v>
      </c>
    </row>
    <row r="19" spans="1:9" x14ac:dyDescent="0.35">
      <c r="A19" t="s">
        <v>0</v>
      </c>
      <c r="B19" t="s">
        <v>17</v>
      </c>
      <c r="C19">
        <v>1</v>
      </c>
      <c r="D19">
        <v>5</v>
      </c>
      <c r="E19">
        <v>5</v>
      </c>
      <c r="G19">
        <v>1</v>
      </c>
    </row>
    <row r="20" spans="1:9" x14ac:dyDescent="0.35">
      <c r="A20" t="s">
        <v>0</v>
      </c>
      <c r="B20" t="s">
        <v>16</v>
      </c>
      <c r="C20">
        <v>0</v>
      </c>
      <c r="D20">
        <v>0</v>
      </c>
      <c r="E20">
        <v>5</v>
      </c>
      <c r="I20">
        <v>1</v>
      </c>
    </row>
    <row r="21" spans="1:9" x14ac:dyDescent="0.35">
      <c r="A21" t="s">
        <v>0</v>
      </c>
      <c r="B21" t="s">
        <v>17</v>
      </c>
      <c r="C21">
        <v>1</v>
      </c>
      <c r="D21">
        <v>9</v>
      </c>
      <c r="E21">
        <v>5</v>
      </c>
      <c r="G21">
        <v>1</v>
      </c>
    </row>
    <row r="22" spans="1:9" x14ac:dyDescent="0.35">
      <c r="A22" t="s">
        <v>0</v>
      </c>
      <c r="B22" t="s">
        <v>16</v>
      </c>
      <c r="C22">
        <v>1</v>
      </c>
      <c r="D22">
        <v>0</v>
      </c>
      <c r="E22">
        <v>4.9851851851851796</v>
      </c>
      <c r="F22">
        <v>1</v>
      </c>
    </row>
    <row r="23" spans="1:9" x14ac:dyDescent="0.35">
      <c r="A23" t="s">
        <v>0</v>
      </c>
      <c r="B23" t="s">
        <v>16</v>
      </c>
      <c r="C23">
        <v>1</v>
      </c>
      <c r="D23">
        <v>0</v>
      </c>
      <c r="E23">
        <v>5</v>
      </c>
      <c r="F23">
        <v>1</v>
      </c>
    </row>
    <row r="24" spans="1:9" x14ac:dyDescent="0.35">
      <c r="A24" t="s">
        <v>10</v>
      </c>
      <c r="B24" t="s">
        <v>17</v>
      </c>
      <c r="C24">
        <v>1</v>
      </c>
      <c r="D24">
        <v>4</v>
      </c>
      <c r="E24">
        <v>5</v>
      </c>
      <c r="G24">
        <v>1</v>
      </c>
    </row>
    <row r="25" spans="1:9" x14ac:dyDescent="0.35">
      <c r="A25" t="s">
        <v>10</v>
      </c>
      <c r="B25" t="s">
        <v>17</v>
      </c>
      <c r="C25">
        <v>1</v>
      </c>
      <c r="D25">
        <v>-9</v>
      </c>
      <c r="E25">
        <v>5</v>
      </c>
      <c r="G25">
        <v>1</v>
      </c>
    </row>
    <row r="26" spans="1:9" x14ac:dyDescent="0.35">
      <c r="A26" t="s">
        <v>10</v>
      </c>
      <c r="B26" t="s">
        <v>16</v>
      </c>
      <c r="C26">
        <v>0</v>
      </c>
      <c r="D26">
        <v>-2</v>
      </c>
      <c r="E26">
        <v>5</v>
      </c>
      <c r="H26">
        <v>1</v>
      </c>
    </row>
    <row r="27" spans="1:9" x14ac:dyDescent="0.35">
      <c r="A27" t="s">
        <v>10</v>
      </c>
      <c r="B27" t="s">
        <v>17</v>
      </c>
      <c r="C27">
        <v>1</v>
      </c>
      <c r="D27">
        <v>9</v>
      </c>
      <c r="E27">
        <v>5</v>
      </c>
      <c r="G27">
        <v>1</v>
      </c>
    </row>
    <row r="28" spans="1:9" x14ac:dyDescent="0.35">
      <c r="A28" t="s">
        <v>10</v>
      </c>
      <c r="B28" t="s">
        <v>17</v>
      </c>
      <c r="C28">
        <v>1</v>
      </c>
      <c r="D28">
        <v>-4</v>
      </c>
      <c r="E28">
        <v>5</v>
      </c>
      <c r="G28">
        <v>1</v>
      </c>
    </row>
    <row r="29" spans="1:9" x14ac:dyDescent="0.35">
      <c r="A29" t="s">
        <v>10</v>
      </c>
      <c r="B29" t="s">
        <v>17</v>
      </c>
      <c r="C29">
        <v>0</v>
      </c>
      <c r="D29">
        <v>0</v>
      </c>
      <c r="E29">
        <v>4.0111111111111102</v>
      </c>
      <c r="I29">
        <v>1</v>
      </c>
    </row>
    <row r="30" spans="1:9" x14ac:dyDescent="0.35">
      <c r="A30" t="s">
        <v>10</v>
      </c>
      <c r="B30" t="s">
        <v>16</v>
      </c>
      <c r="C30">
        <v>1</v>
      </c>
      <c r="D30">
        <v>0</v>
      </c>
      <c r="E30">
        <v>5</v>
      </c>
      <c r="F30">
        <v>1</v>
      </c>
    </row>
    <row r="31" spans="1:9" x14ac:dyDescent="0.35">
      <c r="A31" t="s">
        <v>10</v>
      </c>
      <c r="B31" t="s">
        <v>16</v>
      </c>
      <c r="C31">
        <v>1</v>
      </c>
      <c r="D31">
        <v>0</v>
      </c>
      <c r="E31">
        <v>4.0111111111111102</v>
      </c>
      <c r="F31">
        <v>1</v>
      </c>
    </row>
    <row r="32" spans="1:9" x14ac:dyDescent="0.35">
      <c r="A32" t="s">
        <v>10</v>
      </c>
      <c r="B32" t="s">
        <v>17</v>
      </c>
      <c r="C32">
        <v>1</v>
      </c>
      <c r="D32">
        <v>-2</v>
      </c>
      <c r="E32">
        <v>5</v>
      </c>
      <c r="G32">
        <v>1</v>
      </c>
    </row>
    <row r="33" spans="1:9" x14ac:dyDescent="0.35">
      <c r="A33" t="s">
        <v>10</v>
      </c>
      <c r="B33" t="s">
        <v>17</v>
      </c>
      <c r="C33">
        <v>0</v>
      </c>
      <c r="D33">
        <v>0</v>
      </c>
      <c r="E33">
        <v>5</v>
      </c>
      <c r="I33">
        <v>1</v>
      </c>
    </row>
    <row r="34" spans="1:9" x14ac:dyDescent="0.35">
      <c r="A34" t="s">
        <v>10</v>
      </c>
      <c r="B34" t="s">
        <v>17</v>
      </c>
      <c r="C34">
        <v>1</v>
      </c>
      <c r="D34">
        <v>-3</v>
      </c>
      <c r="E34">
        <v>5</v>
      </c>
      <c r="G34">
        <v>1</v>
      </c>
    </row>
    <row r="35" spans="1:9" x14ac:dyDescent="0.35">
      <c r="A35" t="s">
        <v>2</v>
      </c>
      <c r="B35" t="s">
        <v>16</v>
      </c>
      <c r="C35">
        <v>1</v>
      </c>
      <c r="D35">
        <v>0</v>
      </c>
      <c r="E35">
        <v>5</v>
      </c>
      <c r="F35">
        <v>1</v>
      </c>
    </row>
    <row r="36" spans="1:9" x14ac:dyDescent="0.35">
      <c r="A36" t="s">
        <v>2</v>
      </c>
      <c r="B36" t="s">
        <v>17</v>
      </c>
      <c r="C36">
        <v>0</v>
      </c>
      <c r="D36">
        <v>0</v>
      </c>
      <c r="E36">
        <v>3.9962962962962898</v>
      </c>
      <c r="I36">
        <v>1</v>
      </c>
    </row>
    <row r="37" spans="1:9" x14ac:dyDescent="0.35">
      <c r="A37" t="s">
        <v>2</v>
      </c>
      <c r="B37" t="s">
        <v>16</v>
      </c>
      <c r="C37">
        <v>1</v>
      </c>
      <c r="D37">
        <v>0</v>
      </c>
      <c r="E37">
        <v>5</v>
      </c>
      <c r="F37">
        <v>1</v>
      </c>
    </row>
    <row r="38" spans="1:9" x14ac:dyDescent="0.35">
      <c r="A38" t="s">
        <v>2</v>
      </c>
      <c r="B38" t="s">
        <v>16</v>
      </c>
      <c r="C38">
        <v>1</v>
      </c>
      <c r="D38">
        <v>0</v>
      </c>
      <c r="E38">
        <v>5</v>
      </c>
      <c r="F38">
        <v>1</v>
      </c>
    </row>
    <row r="39" spans="1:9" x14ac:dyDescent="0.35">
      <c r="A39" t="s">
        <v>2</v>
      </c>
      <c r="B39" t="s">
        <v>16</v>
      </c>
      <c r="C39">
        <v>1</v>
      </c>
      <c r="D39">
        <v>0</v>
      </c>
      <c r="E39">
        <v>5</v>
      </c>
      <c r="F39">
        <v>1</v>
      </c>
    </row>
    <row r="40" spans="1:9" x14ac:dyDescent="0.35">
      <c r="A40" t="s">
        <v>2</v>
      </c>
      <c r="B40" t="s">
        <v>16</v>
      </c>
      <c r="C40">
        <v>1</v>
      </c>
      <c r="D40">
        <v>0</v>
      </c>
      <c r="E40">
        <v>5</v>
      </c>
      <c r="F40">
        <v>1</v>
      </c>
    </row>
    <row r="41" spans="1:9" x14ac:dyDescent="0.35">
      <c r="A41" t="s">
        <v>2</v>
      </c>
      <c r="B41" t="s">
        <v>17</v>
      </c>
      <c r="C41">
        <v>1</v>
      </c>
      <c r="D41">
        <v>-9</v>
      </c>
      <c r="E41">
        <v>4.9962962962962898</v>
      </c>
      <c r="G41">
        <v>1</v>
      </c>
    </row>
    <row r="42" spans="1:9" x14ac:dyDescent="0.35">
      <c r="A42" t="s">
        <v>2</v>
      </c>
      <c r="B42" t="s">
        <v>16</v>
      </c>
      <c r="C42">
        <v>1</v>
      </c>
      <c r="D42">
        <v>0</v>
      </c>
      <c r="E42">
        <v>5</v>
      </c>
      <c r="F42">
        <v>1</v>
      </c>
    </row>
    <row r="43" spans="1:9" x14ac:dyDescent="0.35">
      <c r="A43" t="s">
        <v>2</v>
      </c>
      <c r="B43" t="s">
        <v>16</v>
      </c>
      <c r="C43">
        <v>0</v>
      </c>
      <c r="D43">
        <v>7</v>
      </c>
      <c r="E43">
        <v>4.0222222222222204</v>
      </c>
      <c r="H43">
        <v>1</v>
      </c>
    </row>
    <row r="44" spans="1:9" x14ac:dyDescent="0.35">
      <c r="A44" t="s">
        <v>2</v>
      </c>
      <c r="B44" t="s">
        <v>16</v>
      </c>
      <c r="C44">
        <v>1</v>
      </c>
      <c r="D44">
        <v>0</v>
      </c>
      <c r="E44">
        <v>5</v>
      </c>
      <c r="F44">
        <v>1</v>
      </c>
    </row>
    <row r="45" spans="1:9" x14ac:dyDescent="0.35">
      <c r="A45" t="s">
        <v>2</v>
      </c>
      <c r="B45" t="s">
        <v>16</v>
      </c>
      <c r="C45">
        <v>1</v>
      </c>
      <c r="D45">
        <v>0</v>
      </c>
      <c r="E45">
        <v>5</v>
      </c>
      <c r="F45">
        <v>1</v>
      </c>
    </row>
    <row r="46" spans="1:9" x14ac:dyDescent="0.35">
      <c r="A46" t="s">
        <v>5</v>
      </c>
      <c r="B46" t="s">
        <v>17</v>
      </c>
      <c r="C46">
        <v>1</v>
      </c>
      <c r="D46">
        <v>0</v>
      </c>
      <c r="E46">
        <v>4.0074074074074</v>
      </c>
      <c r="F46">
        <v>1</v>
      </c>
    </row>
    <row r="47" spans="1:9" x14ac:dyDescent="0.35">
      <c r="A47" t="s">
        <v>5</v>
      </c>
      <c r="B47" t="s">
        <v>17</v>
      </c>
      <c r="C47">
        <v>0</v>
      </c>
      <c r="D47">
        <v>0</v>
      </c>
      <c r="E47">
        <v>4.0629629629629598</v>
      </c>
      <c r="I47">
        <v>1</v>
      </c>
    </row>
    <row r="48" spans="1:9" x14ac:dyDescent="0.35">
      <c r="A48" t="s">
        <v>5</v>
      </c>
      <c r="B48" t="s">
        <v>17</v>
      </c>
      <c r="C48">
        <v>1</v>
      </c>
      <c r="D48">
        <v>-4</v>
      </c>
      <c r="E48">
        <v>5</v>
      </c>
      <c r="G48">
        <v>1</v>
      </c>
    </row>
    <row r="49" spans="1:9" x14ac:dyDescent="0.35">
      <c r="A49" t="s">
        <v>5</v>
      </c>
      <c r="B49" t="s">
        <v>16</v>
      </c>
      <c r="C49">
        <v>1</v>
      </c>
      <c r="D49">
        <v>0</v>
      </c>
      <c r="E49">
        <v>5</v>
      </c>
      <c r="F49">
        <v>1</v>
      </c>
    </row>
    <row r="50" spans="1:9" x14ac:dyDescent="0.35">
      <c r="A50" t="s">
        <v>5</v>
      </c>
      <c r="B50" t="s">
        <v>17</v>
      </c>
      <c r="C50">
        <v>1</v>
      </c>
      <c r="D50">
        <v>3</v>
      </c>
      <c r="E50">
        <v>5</v>
      </c>
      <c r="G50">
        <v>1</v>
      </c>
    </row>
    <row r="51" spans="1:9" x14ac:dyDescent="0.35">
      <c r="A51" t="s">
        <v>5</v>
      </c>
      <c r="B51" t="s">
        <v>16</v>
      </c>
      <c r="C51">
        <v>1</v>
      </c>
      <c r="D51">
        <v>0</v>
      </c>
      <c r="E51">
        <v>4.9851851851851796</v>
      </c>
      <c r="F51">
        <v>1</v>
      </c>
    </row>
    <row r="52" spans="1:9" x14ac:dyDescent="0.35">
      <c r="A52" t="s">
        <v>5</v>
      </c>
      <c r="B52" t="s">
        <v>17</v>
      </c>
      <c r="C52">
        <v>1</v>
      </c>
      <c r="D52">
        <v>6</v>
      </c>
      <c r="E52">
        <v>4.0037037037037004</v>
      </c>
      <c r="G52">
        <v>1</v>
      </c>
    </row>
    <row r="53" spans="1:9" x14ac:dyDescent="0.35">
      <c r="A53" t="s">
        <v>5</v>
      </c>
      <c r="B53" t="s">
        <v>17</v>
      </c>
      <c r="C53">
        <v>0</v>
      </c>
      <c r="D53">
        <v>0</v>
      </c>
      <c r="E53">
        <v>4.9925925925925903</v>
      </c>
      <c r="I53">
        <v>1</v>
      </c>
    </row>
    <row r="54" spans="1:9" x14ac:dyDescent="0.35">
      <c r="A54" t="s">
        <v>5</v>
      </c>
      <c r="B54" t="s">
        <v>17</v>
      </c>
      <c r="C54">
        <v>1</v>
      </c>
      <c r="D54">
        <v>-9</v>
      </c>
      <c r="E54">
        <v>5</v>
      </c>
      <c r="G54">
        <v>1</v>
      </c>
    </row>
    <row r="55" spans="1:9" x14ac:dyDescent="0.35">
      <c r="A55" t="s">
        <v>5</v>
      </c>
      <c r="B55" t="s">
        <v>16</v>
      </c>
      <c r="C55">
        <v>1</v>
      </c>
      <c r="D55">
        <v>0</v>
      </c>
      <c r="E55">
        <v>5</v>
      </c>
      <c r="F55">
        <v>1</v>
      </c>
    </row>
    <row r="56" spans="1:9" x14ac:dyDescent="0.35">
      <c r="A56" t="s">
        <v>5</v>
      </c>
      <c r="B56" t="s">
        <v>16</v>
      </c>
      <c r="C56">
        <v>1</v>
      </c>
      <c r="D56">
        <v>0</v>
      </c>
      <c r="E56">
        <v>5</v>
      </c>
      <c r="F56">
        <v>1</v>
      </c>
    </row>
    <row r="57" spans="1:9" x14ac:dyDescent="0.35">
      <c r="A57" t="s">
        <v>9</v>
      </c>
      <c r="B57" t="s">
        <v>17</v>
      </c>
      <c r="C57">
        <v>1</v>
      </c>
      <c r="D57">
        <v>-5</v>
      </c>
      <c r="E57">
        <v>5</v>
      </c>
      <c r="G57">
        <v>1</v>
      </c>
    </row>
    <row r="58" spans="1:9" x14ac:dyDescent="0.35">
      <c r="A58" t="s">
        <v>9</v>
      </c>
      <c r="B58" t="s">
        <v>16</v>
      </c>
      <c r="C58">
        <v>1</v>
      </c>
      <c r="D58">
        <v>0</v>
      </c>
      <c r="E58">
        <v>4.0111111111111102</v>
      </c>
      <c r="F58">
        <v>1</v>
      </c>
    </row>
    <row r="59" spans="1:9" x14ac:dyDescent="0.35">
      <c r="A59" t="s">
        <v>9</v>
      </c>
      <c r="B59" t="s">
        <v>16</v>
      </c>
      <c r="C59">
        <v>1</v>
      </c>
      <c r="D59">
        <v>0</v>
      </c>
      <c r="E59">
        <v>5</v>
      </c>
      <c r="F59">
        <v>1</v>
      </c>
    </row>
    <row r="60" spans="1:9" x14ac:dyDescent="0.35">
      <c r="A60" t="s">
        <v>9</v>
      </c>
      <c r="B60" t="s">
        <v>16</v>
      </c>
      <c r="C60">
        <v>1</v>
      </c>
      <c r="D60">
        <v>0</v>
      </c>
      <c r="E60">
        <v>5</v>
      </c>
      <c r="F60">
        <v>1</v>
      </c>
    </row>
    <row r="61" spans="1:9" x14ac:dyDescent="0.35">
      <c r="A61" t="s">
        <v>9</v>
      </c>
      <c r="B61" t="s">
        <v>17</v>
      </c>
      <c r="C61">
        <v>1</v>
      </c>
      <c r="D61">
        <v>4</v>
      </c>
      <c r="E61">
        <v>5</v>
      </c>
      <c r="G61">
        <v>1</v>
      </c>
    </row>
    <row r="62" spans="1:9" x14ac:dyDescent="0.35">
      <c r="A62" t="s">
        <v>9</v>
      </c>
      <c r="B62" t="s">
        <v>17</v>
      </c>
      <c r="C62">
        <v>1</v>
      </c>
      <c r="D62">
        <v>2</v>
      </c>
      <c r="E62">
        <v>5</v>
      </c>
      <c r="G62">
        <v>1</v>
      </c>
    </row>
    <row r="63" spans="1:9" x14ac:dyDescent="0.35">
      <c r="A63" t="s">
        <v>9</v>
      </c>
      <c r="B63" t="s">
        <v>16</v>
      </c>
      <c r="C63">
        <v>1</v>
      </c>
      <c r="D63">
        <v>0</v>
      </c>
      <c r="E63">
        <v>5</v>
      </c>
      <c r="F63">
        <v>1</v>
      </c>
    </row>
    <row r="64" spans="1:9" x14ac:dyDescent="0.35">
      <c r="A64" t="s">
        <v>9</v>
      </c>
      <c r="B64" t="s">
        <v>17</v>
      </c>
      <c r="C64">
        <v>1</v>
      </c>
      <c r="D64">
        <v>-10</v>
      </c>
      <c r="E64">
        <v>5</v>
      </c>
      <c r="G64">
        <v>1</v>
      </c>
    </row>
    <row r="65" spans="1:20" x14ac:dyDescent="0.35">
      <c r="A65" t="s">
        <v>9</v>
      </c>
      <c r="B65" t="s">
        <v>16</v>
      </c>
      <c r="C65">
        <v>1</v>
      </c>
      <c r="D65">
        <v>0</v>
      </c>
      <c r="E65">
        <v>4</v>
      </c>
      <c r="F65">
        <v>1</v>
      </c>
    </row>
    <row r="66" spans="1:20" x14ac:dyDescent="0.35">
      <c r="A66" t="s">
        <v>9</v>
      </c>
      <c r="B66" t="s">
        <v>16</v>
      </c>
      <c r="C66">
        <v>0</v>
      </c>
      <c r="D66">
        <v>0</v>
      </c>
      <c r="E66">
        <v>5</v>
      </c>
      <c r="I66">
        <v>1</v>
      </c>
    </row>
    <row r="67" spans="1:20" x14ac:dyDescent="0.35">
      <c r="A67" t="s">
        <v>9</v>
      </c>
      <c r="B67" t="s">
        <v>16</v>
      </c>
      <c r="C67">
        <v>1</v>
      </c>
      <c r="D67">
        <v>0</v>
      </c>
      <c r="E67">
        <v>5</v>
      </c>
      <c r="F67">
        <v>1</v>
      </c>
    </row>
    <row r="68" spans="1:20" x14ac:dyDescent="0.35">
      <c r="A68" t="s">
        <v>11</v>
      </c>
      <c r="B68" t="s">
        <v>16</v>
      </c>
      <c r="C68">
        <v>1</v>
      </c>
      <c r="D68">
        <v>0</v>
      </c>
      <c r="E68">
        <v>5</v>
      </c>
      <c r="F68">
        <v>1</v>
      </c>
    </row>
    <row r="69" spans="1:20" x14ac:dyDescent="0.35">
      <c r="A69" t="s">
        <v>11</v>
      </c>
      <c r="B69" t="s">
        <v>17</v>
      </c>
      <c r="C69">
        <v>1</v>
      </c>
      <c r="D69">
        <v>-5</v>
      </c>
      <c r="E69">
        <v>3.9814814814814801</v>
      </c>
      <c r="G69">
        <v>1</v>
      </c>
    </row>
    <row r="70" spans="1:20" x14ac:dyDescent="0.35">
      <c r="A70" t="s">
        <v>11</v>
      </c>
      <c r="B70" t="s">
        <v>17</v>
      </c>
      <c r="C70">
        <v>1</v>
      </c>
      <c r="D70">
        <v>5</v>
      </c>
      <c r="E70">
        <v>5</v>
      </c>
      <c r="G70">
        <v>1</v>
      </c>
    </row>
    <row r="71" spans="1:20" x14ac:dyDescent="0.35">
      <c r="A71" t="s">
        <v>11</v>
      </c>
      <c r="B71" t="s">
        <v>17</v>
      </c>
      <c r="C71">
        <v>1</v>
      </c>
      <c r="D71">
        <v>4</v>
      </c>
      <c r="E71">
        <v>5</v>
      </c>
      <c r="G71">
        <v>1</v>
      </c>
    </row>
    <row r="72" spans="1:20" x14ac:dyDescent="0.35">
      <c r="A72" t="s">
        <v>11</v>
      </c>
      <c r="B72" t="s">
        <v>17</v>
      </c>
      <c r="C72">
        <v>0</v>
      </c>
      <c r="D72">
        <v>0</v>
      </c>
      <c r="E72">
        <v>5</v>
      </c>
      <c r="I72">
        <v>1</v>
      </c>
    </row>
    <row r="73" spans="1:20" x14ac:dyDescent="0.35">
      <c r="A73" t="s">
        <v>11</v>
      </c>
      <c r="B73" t="s">
        <v>17</v>
      </c>
      <c r="C73">
        <v>1</v>
      </c>
      <c r="D73">
        <v>1</v>
      </c>
      <c r="E73">
        <v>5</v>
      </c>
      <c r="G73">
        <v>1</v>
      </c>
    </row>
    <row r="74" spans="1:20" x14ac:dyDescent="0.35">
      <c r="A74" t="s">
        <v>11</v>
      </c>
      <c r="B74" t="s">
        <v>16</v>
      </c>
      <c r="C74">
        <v>1</v>
      </c>
      <c r="D74">
        <v>0</v>
      </c>
      <c r="E74">
        <v>5</v>
      </c>
      <c r="F74">
        <v>1</v>
      </c>
    </row>
    <row r="75" spans="1:20" x14ac:dyDescent="0.35">
      <c r="A75" t="s">
        <v>11</v>
      </c>
      <c r="B75" t="s">
        <v>16</v>
      </c>
      <c r="C75">
        <v>0</v>
      </c>
      <c r="D75">
        <v>-1</v>
      </c>
      <c r="E75">
        <v>4.9777777777777699</v>
      </c>
      <c r="H75">
        <v>1</v>
      </c>
    </row>
    <row r="76" spans="1:20" x14ac:dyDescent="0.35">
      <c r="A76" t="s">
        <v>11</v>
      </c>
      <c r="B76" t="s">
        <v>16</v>
      </c>
      <c r="C76">
        <v>1</v>
      </c>
      <c r="D76">
        <v>0</v>
      </c>
      <c r="E76">
        <v>5</v>
      </c>
      <c r="F76">
        <v>1</v>
      </c>
      <c r="K76" t="s">
        <v>26</v>
      </c>
      <c r="L76">
        <f>F79/(F79+I79)</f>
        <v>0.72727272727272729</v>
      </c>
      <c r="N76" t="s">
        <v>28</v>
      </c>
      <c r="O76">
        <f>NORMSINV(L76)-NORMSINV(L77)</f>
        <v>1.6345421088086058</v>
      </c>
      <c r="Q76" t="s">
        <v>29</v>
      </c>
      <c r="R76">
        <f>AVERAGE(C2:C78,1,E2:E78)</f>
        <v>2.7941218637992828</v>
      </c>
      <c r="S76" t="s">
        <v>41</v>
      </c>
      <c r="T76">
        <f>R76-R77</f>
        <v>6.4516129032257119E-3</v>
      </c>
    </row>
    <row r="77" spans="1:20" x14ac:dyDescent="0.35">
      <c r="A77" t="s">
        <v>11</v>
      </c>
      <c r="B77" t="s">
        <v>17</v>
      </c>
      <c r="C77">
        <v>1</v>
      </c>
      <c r="D77">
        <v>7</v>
      </c>
      <c r="E77">
        <v>4.98888888888888</v>
      </c>
      <c r="G77">
        <v>1</v>
      </c>
      <c r="K77" t="s">
        <v>27</v>
      </c>
      <c r="L77">
        <f>H79/(H79+G79)</f>
        <v>0.15151515151515152</v>
      </c>
      <c r="Q77" t="s">
        <v>40</v>
      </c>
      <c r="R77">
        <f>AVERAGE(C2:C78,0,E2:E78)</f>
        <v>2.7876702508960571</v>
      </c>
      <c r="S77" t="s">
        <v>37</v>
      </c>
      <c r="T77">
        <f>T76/O76</f>
        <v>3.9470460066202877E-3</v>
      </c>
    </row>
    <row r="78" spans="1:20" x14ac:dyDescent="0.35">
      <c r="A78" t="s">
        <v>11</v>
      </c>
      <c r="B78" t="s">
        <v>17</v>
      </c>
      <c r="C78">
        <v>1</v>
      </c>
      <c r="D78">
        <v>-9</v>
      </c>
      <c r="E78">
        <v>5</v>
      </c>
      <c r="G78">
        <v>1</v>
      </c>
    </row>
    <row r="79" spans="1:20" x14ac:dyDescent="0.35">
      <c r="E79" t="s">
        <v>25</v>
      </c>
      <c r="F79">
        <f>SUM(F2:F78)</f>
        <v>32</v>
      </c>
      <c r="G79">
        <f t="shared" ref="G79:I79" si="0">SUM(G2:G78)</f>
        <v>28</v>
      </c>
      <c r="H79">
        <f t="shared" si="0"/>
        <v>5</v>
      </c>
      <c r="I79">
        <f t="shared" si="0"/>
        <v>12</v>
      </c>
    </row>
    <row r="80" spans="1:20" x14ac:dyDescent="0.35">
      <c r="A80" t="s">
        <v>3</v>
      </c>
      <c r="B80" t="s">
        <v>16</v>
      </c>
      <c r="C80">
        <v>1</v>
      </c>
      <c r="D80">
        <v>0</v>
      </c>
      <c r="E80">
        <v>3.0037037037037</v>
      </c>
      <c r="F80">
        <v>1</v>
      </c>
    </row>
    <row r="81" spans="1:9" x14ac:dyDescent="0.35">
      <c r="A81" t="s">
        <v>3</v>
      </c>
      <c r="B81" t="s">
        <v>17</v>
      </c>
      <c r="C81">
        <v>1</v>
      </c>
      <c r="D81">
        <v>-5</v>
      </c>
      <c r="E81">
        <v>3.0259259259259199</v>
      </c>
      <c r="G81">
        <v>1</v>
      </c>
    </row>
    <row r="82" spans="1:9" x14ac:dyDescent="0.35">
      <c r="A82" t="s">
        <v>3</v>
      </c>
      <c r="B82" t="s">
        <v>17</v>
      </c>
      <c r="C82">
        <v>1</v>
      </c>
      <c r="D82">
        <v>6</v>
      </c>
      <c r="E82">
        <v>2.9555555555555499</v>
      </c>
      <c r="G82">
        <v>1</v>
      </c>
    </row>
    <row r="83" spans="1:9" x14ac:dyDescent="0.35">
      <c r="A83" t="s">
        <v>3</v>
      </c>
      <c r="B83" t="s">
        <v>17</v>
      </c>
      <c r="C83">
        <v>1</v>
      </c>
      <c r="D83">
        <v>-7</v>
      </c>
      <c r="E83">
        <v>5</v>
      </c>
      <c r="G83">
        <v>1</v>
      </c>
    </row>
    <row r="84" spans="1:9" x14ac:dyDescent="0.35">
      <c r="A84" t="s">
        <v>3</v>
      </c>
      <c r="B84" t="s">
        <v>16</v>
      </c>
      <c r="C84">
        <v>0</v>
      </c>
      <c r="D84">
        <v>-2</v>
      </c>
      <c r="E84">
        <v>3.0296296296296199</v>
      </c>
      <c r="H84">
        <v>1</v>
      </c>
    </row>
    <row r="85" spans="1:9" x14ac:dyDescent="0.35">
      <c r="A85" t="s">
        <v>3</v>
      </c>
      <c r="B85" t="s">
        <v>16</v>
      </c>
      <c r="C85">
        <v>1</v>
      </c>
      <c r="D85">
        <v>0</v>
      </c>
      <c r="E85">
        <v>3</v>
      </c>
      <c r="F85">
        <v>1</v>
      </c>
    </row>
    <row r="86" spans="1:9" x14ac:dyDescent="0.35">
      <c r="A86" t="s">
        <v>3</v>
      </c>
      <c r="B86" t="s">
        <v>17</v>
      </c>
      <c r="C86">
        <v>1</v>
      </c>
      <c r="D86">
        <v>-9</v>
      </c>
      <c r="E86">
        <v>3</v>
      </c>
      <c r="G86">
        <v>1</v>
      </c>
    </row>
    <row r="87" spans="1:9" x14ac:dyDescent="0.35">
      <c r="A87" t="s">
        <v>3</v>
      </c>
      <c r="B87" t="s">
        <v>16</v>
      </c>
      <c r="C87">
        <v>1</v>
      </c>
      <c r="D87">
        <v>0</v>
      </c>
      <c r="E87">
        <v>2.9925925925925898</v>
      </c>
      <c r="F87">
        <v>1</v>
      </c>
    </row>
    <row r="88" spans="1:9" x14ac:dyDescent="0.35">
      <c r="A88" t="s">
        <v>3</v>
      </c>
      <c r="B88" t="s">
        <v>17</v>
      </c>
      <c r="C88">
        <v>0</v>
      </c>
      <c r="D88">
        <v>0</v>
      </c>
      <c r="E88">
        <v>3.0074074074074</v>
      </c>
      <c r="I88">
        <v>1</v>
      </c>
    </row>
    <row r="89" spans="1:9" x14ac:dyDescent="0.35">
      <c r="A89" t="s">
        <v>3</v>
      </c>
      <c r="B89" t="s">
        <v>16</v>
      </c>
      <c r="C89">
        <v>1</v>
      </c>
      <c r="D89">
        <v>0</v>
      </c>
      <c r="E89">
        <v>3.0629629629629598</v>
      </c>
      <c r="F89">
        <v>1</v>
      </c>
    </row>
    <row r="90" spans="1:9" x14ac:dyDescent="0.35">
      <c r="A90" t="s">
        <v>3</v>
      </c>
      <c r="B90" t="s">
        <v>17</v>
      </c>
      <c r="C90">
        <v>1</v>
      </c>
      <c r="D90">
        <v>-2</v>
      </c>
      <c r="E90">
        <v>2.9925925925925898</v>
      </c>
      <c r="G90">
        <v>1</v>
      </c>
    </row>
    <row r="91" spans="1:9" x14ac:dyDescent="0.35">
      <c r="A91" t="s">
        <v>7</v>
      </c>
      <c r="B91" t="s">
        <v>17</v>
      </c>
      <c r="C91">
        <v>0</v>
      </c>
      <c r="D91">
        <v>0</v>
      </c>
      <c r="E91">
        <v>2.9814814814814801</v>
      </c>
      <c r="I91">
        <v>1</v>
      </c>
    </row>
    <row r="92" spans="1:9" x14ac:dyDescent="0.35">
      <c r="A92" t="s">
        <v>7</v>
      </c>
      <c r="B92" t="s">
        <v>16</v>
      </c>
      <c r="C92">
        <v>1</v>
      </c>
      <c r="D92">
        <v>0</v>
      </c>
      <c r="E92">
        <v>3.0074074074074</v>
      </c>
      <c r="F92">
        <v>1</v>
      </c>
    </row>
    <row r="93" spans="1:9" x14ac:dyDescent="0.35">
      <c r="A93" t="s">
        <v>7</v>
      </c>
      <c r="B93" t="s">
        <v>16</v>
      </c>
      <c r="C93">
        <v>1</v>
      </c>
      <c r="D93">
        <v>0</v>
      </c>
      <c r="E93">
        <v>1.98888888888888</v>
      </c>
      <c r="F93">
        <v>1</v>
      </c>
    </row>
    <row r="94" spans="1:9" x14ac:dyDescent="0.35">
      <c r="A94" t="s">
        <v>7</v>
      </c>
      <c r="B94" t="s">
        <v>16</v>
      </c>
      <c r="C94">
        <v>1</v>
      </c>
      <c r="D94">
        <v>0</v>
      </c>
      <c r="E94">
        <v>3.0111111111111102</v>
      </c>
      <c r="F94">
        <v>1</v>
      </c>
    </row>
    <row r="95" spans="1:9" x14ac:dyDescent="0.35">
      <c r="A95" t="s">
        <v>7</v>
      </c>
      <c r="B95" t="s">
        <v>17</v>
      </c>
      <c r="C95">
        <v>0</v>
      </c>
      <c r="D95">
        <v>0</v>
      </c>
      <c r="E95">
        <v>3.0074074074074</v>
      </c>
      <c r="I95">
        <v>1</v>
      </c>
    </row>
    <row r="96" spans="1:9" x14ac:dyDescent="0.35">
      <c r="A96" t="s">
        <v>7</v>
      </c>
      <c r="B96" t="s">
        <v>16</v>
      </c>
      <c r="C96">
        <v>1</v>
      </c>
      <c r="D96">
        <v>0</v>
      </c>
      <c r="E96">
        <v>3.0333333333333301</v>
      </c>
      <c r="F96">
        <v>1</v>
      </c>
    </row>
    <row r="97" spans="1:9" x14ac:dyDescent="0.35">
      <c r="A97" t="s">
        <v>7</v>
      </c>
      <c r="B97" t="s">
        <v>17</v>
      </c>
      <c r="C97">
        <v>1</v>
      </c>
      <c r="D97">
        <v>-10</v>
      </c>
      <c r="E97">
        <v>4</v>
      </c>
      <c r="G97">
        <v>1</v>
      </c>
    </row>
    <row r="98" spans="1:9" x14ac:dyDescent="0.35">
      <c r="A98" t="s">
        <v>7</v>
      </c>
      <c r="B98" t="s">
        <v>17</v>
      </c>
      <c r="C98">
        <v>0</v>
      </c>
      <c r="D98">
        <v>0</v>
      </c>
      <c r="E98">
        <v>2.0259259259259199</v>
      </c>
      <c r="I98">
        <v>1</v>
      </c>
    </row>
    <row r="99" spans="1:9" x14ac:dyDescent="0.35">
      <c r="A99" t="s">
        <v>7</v>
      </c>
      <c r="B99" t="s">
        <v>16</v>
      </c>
      <c r="C99">
        <v>1</v>
      </c>
      <c r="D99">
        <v>0</v>
      </c>
      <c r="E99">
        <v>4.0148148148148097</v>
      </c>
      <c r="F99">
        <v>1</v>
      </c>
    </row>
    <row r="100" spans="1:9" x14ac:dyDescent="0.35">
      <c r="A100" t="s">
        <v>7</v>
      </c>
      <c r="B100" t="s">
        <v>17</v>
      </c>
      <c r="C100">
        <v>1</v>
      </c>
      <c r="D100">
        <v>5</v>
      </c>
      <c r="E100">
        <v>3.0037037037037</v>
      </c>
      <c r="G100">
        <v>1</v>
      </c>
    </row>
    <row r="101" spans="1:9" x14ac:dyDescent="0.35">
      <c r="A101" t="s">
        <v>7</v>
      </c>
      <c r="B101" t="s">
        <v>16</v>
      </c>
      <c r="C101">
        <v>1</v>
      </c>
      <c r="D101">
        <v>0</v>
      </c>
      <c r="E101">
        <v>3</v>
      </c>
      <c r="F101">
        <v>1</v>
      </c>
    </row>
    <row r="102" spans="1:9" x14ac:dyDescent="0.35">
      <c r="A102" t="s">
        <v>6</v>
      </c>
      <c r="B102" t="s">
        <v>16</v>
      </c>
      <c r="C102">
        <v>1</v>
      </c>
      <c r="D102">
        <v>0</v>
      </c>
      <c r="E102">
        <v>3.0037037037037</v>
      </c>
      <c r="F102">
        <v>1</v>
      </c>
    </row>
    <row r="103" spans="1:9" x14ac:dyDescent="0.35">
      <c r="A103" t="s">
        <v>6</v>
      </c>
      <c r="B103" t="s">
        <v>17</v>
      </c>
      <c r="C103">
        <v>1</v>
      </c>
      <c r="D103">
        <v>4</v>
      </c>
      <c r="E103">
        <v>1.94814814814814</v>
      </c>
      <c r="G103">
        <v>1</v>
      </c>
    </row>
    <row r="104" spans="1:9" x14ac:dyDescent="0.35">
      <c r="A104" t="s">
        <v>6</v>
      </c>
      <c r="B104" t="s">
        <v>17</v>
      </c>
      <c r="C104">
        <v>0</v>
      </c>
      <c r="D104">
        <v>0</v>
      </c>
      <c r="E104">
        <v>1.99629629629629</v>
      </c>
      <c r="I104">
        <v>1</v>
      </c>
    </row>
    <row r="105" spans="1:9" x14ac:dyDescent="0.35">
      <c r="A105" t="s">
        <v>6</v>
      </c>
      <c r="B105" t="s">
        <v>17</v>
      </c>
      <c r="C105">
        <v>1</v>
      </c>
      <c r="D105">
        <v>4</v>
      </c>
      <c r="E105">
        <v>4.0148148148148097</v>
      </c>
      <c r="G105">
        <v>1</v>
      </c>
    </row>
    <row r="106" spans="1:9" x14ac:dyDescent="0.35">
      <c r="A106" t="s">
        <v>6</v>
      </c>
      <c r="B106" t="s">
        <v>17</v>
      </c>
      <c r="C106">
        <v>0</v>
      </c>
      <c r="D106">
        <v>0</v>
      </c>
      <c r="E106">
        <v>2.0148148148148102</v>
      </c>
      <c r="I106">
        <v>1</v>
      </c>
    </row>
    <row r="107" spans="1:9" x14ac:dyDescent="0.35">
      <c r="A107" t="s">
        <v>6</v>
      </c>
      <c r="B107" t="s">
        <v>17</v>
      </c>
      <c r="C107">
        <v>1</v>
      </c>
      <c r="D107">
        <v>6</v>
      </c>
      <c r="E107">
        <v>2.0111111111111102</v>
      </c>
      <c r="G107">
        <v>1</v>
      </c>
    </row>
    <row r="108" spans="1:9" x14ac:dyDescent="0.35">
      <c r="A108" t="s">
        <v>6</v>
      </c>
      <c r="B108" t="s">
        <v>16</v>
      </c>
      <c r="C108">
        <v>1</v>
      </c>
      <c r="D108">
        <v>0</v>
      </c>
      <c r="E108">
        <v>2.9777777777777699</v>
      </c>
      <c r="F108">
        <v>1</v>
      </c>
    </row>
    <row r="109" spans="1:9" x14ac:dyDescent="0.35">
      <c r="A109" t="s">
        <v>6</v>
      </c>
      <c r="B109" t="s">
        <v>16</v>
      </c>
      <c r="C109">
        <v>1</v>
      </c>
      <c r="D109">
        <v>0</v>
      </c>
      <c r="E109">
        <v>2.9851851851851801</v>
      </c>
      <c r="F109">
        <v>1</v>
      </c>
    </row>
    <row r="110" spans="1:9" x14ac:dyDescent="0.35">
      <c r="A110" t="s">
        <v>6</v>
      </c>
      <c r="B110" t="s">
        <v>17</v>
      </c>
      <c r="C110">
        <v>1</v>
      </c>
      <c r="D110">
        <v>2</v>
      </c>
      <c r="E110">
        <v>3.0037037037037</v>
      </c>
      <c r="G110">
        <v>1</v>
      </c>
    </row>
    <row r="111" spans="1:9" x14ac:dyDescent="0.35">
      <c r="A111" t="s">
        <v>6</v>
      </c>
      <c r="B111" t="s">
        <v>16</v>
      </c>
      <c r="C111">
        <v>1</v>
      </c>
      <c r="D111">
        <v>0</v>
      </c>
      <c r="E111">
        <v>2.9962962962962898</v>
      </c>
      <c r="F111">
        <v>1</v>
      </c>
    </row>
    <row r="112" spans="1:9" x14ac:dyDescent="0.35">
      <c r="A112" t="s">
        <v>6</v>
      </c>
      <c r="B112" t="s">
        <v>17</v>
      </c>
      <c r="C112">
        <v>1</v>
      </c>
      <c r="D112">
        <v>-9</v>
      </c>
      <c r="E112">
        <v>3</v>
      </c>
      <c r="G112">
        <v>1</v>
      </c>
    </row>
    <row r="113" spans="1:9" x14ac:dyDescent="0.35">
      <c r="A113" t="s">
        <v>13</v>
      </c>
      <c r="B113" t="s">
        <v>16</v>
      </c>
      <c r="C113">
        <v>1</v>
      </c>
      <c r="D113">
        <v>0</v>
      </c>
      <c r="E113">
        <v>3.9851851851851801</v>
      </c>
      <c r="F113">
        <v>1</v>
      </c>
    </row>
    <row r="114" spans="1:9" x14ac:dyDescent="0.35">
      <c r="A114" t="s">
        <v>13</v>
      </c>
      <c r="B114" t="s">
        <v>17</v>
      </c>
      <c r="C114">
        <v>1</v>
      </c>
      <c r="D114">
        <v>-9</v>
      </c>
      <c r="E114">
        <v>3.0111111111111102</v>
      </c>
      <c r="G114">
        <v>1</v>
      </c>
    </row>
    <row r="115" spans="1:9" x14ac:dyDescent="0.35">
      <c r="A115" t="s">
        <v>13</v>
      </c>
      <c r="B115" t="s">
        <v>17</v>
      </c>
      <c r="C115">
        <v>0</v>
      </c>
      <c r="D115">
        <v>0</v>
      </c>
      <c r="E115">
        <v>2.0111111111111102</v>
      </c>
      <c r="I115">
        <v>1</v>
      </c>
    </row>
    <row r="116" spans="1:9" x14ac:dyDescent="0.35">
      <c r="A116" t="s">
        <v>13</v>
      </c>
      <c r="B116" t="s">
        <v>16</v>
      </c>
      <c r="C116">
        <v>1</v>
      </c>
      <c r="D116">
        <v>0</v>
      </c>
      <c r="E116">
        <v>4</v>
      </c>
      <c r="F116">
        <v>1</v>
      </c>
    </row>
    <row r="117" spans="1:9" x14ac:dyDescent="0.35">
      <c r="A117" t="s">
        <v>13</v>
      </c>
      <c r="B117" t="s">
        <v>17</v>
      </c>
      <c r="C117">
        <v>1</v>
      </c>
      <c r="D117">
        <v>-7</v>
      </c>
      <c r="E117">
        <v>3</v>
      </c>
      <c r="G117">
        <v>1</v>
      </c>
    </row>
    <row r="118" spans="1:9" x14ac:dyDescent="0.35">
      <c r="A118" t="s">
        <v>13</v>
      </c>
      <c r="B118" t="s">
        <v>17</v>
      </c>
      <c r="C118">
        <v>0</v>
      </c>
      <c r="D118">
        <v>0</v>
      </c>
      <c r="E118">
        <v>3.0074074074074</v>
      </c>
      <c r="I118">
        <v>1</v>
      </c>
    </row>
    <row r="119" spans="1:9" x14ac:dyDescent="0.35">
      <c r="A119" t="s">
        <v>13</v>
      </c>
      <c r="B119" t="s">
        <v>16</v>
      </c>
      <c r="C119">
        <v>1</v>
      </c>
      <c r="D119">
        <v>0</v>
      </c>
      <c r="E119">
        <v>3</v>
      </c>
      <c r="F119">
        <v>1</v>
      </c>
    </row>
    <row r="120" spans="1:9" x14ac:dyDescent="0.35">
      <c r="A120" t="s">
        <v>13</v>
      </c>
      <c r="B120" t="s">
        <v>17</v>
      </c>
      <c r="C120">
        <v>1</v>
      </c>
      <c r="D120">
        <v>-8</v>
      </c>
      <c r="E120">
        <v>1.9629629629629599</v>
      </c>
      <c r="G120">
        <v>1</v>
      </c>
    </row>
    <row r="121" spans="1:9" x14ac:dyDescent="0.35">
      <c r="A121" t="s">
        <v>13</v>
      </c>
      <c r="B121" t="s">
        <v>17</v>
      </c>
      <c r="C121">
        <v>0</v>
      </c>
      <c r="D121">
        <v>0</v>
      </c>
      <c r="E121">
        <v>4.0148148148148097</v>
      </c>
      <c r="I121">
        <v>1</v>
      </c>
    </row>
    <row r="122" spans="1:9" x14ac:dyDescent="0.35">
      <c r="A122" t="s">
        <v>13</v>
      </c>
      <c r="B122" t="s">
        <v>17</v>
      </c>
      <c r="C122">
        <v>1</v>
      </c>
      <c r="D122">
        <v>-4</v>
      </c>
      <c r="E122">
        <v>2.0111111111111102</v>
      </c>
      <c r="G122">
        <v>1</v>
      </c>
    </row>
    <row r="123" spans="1:9" x14ac:dyDescent="0.35">
      <c r="A123" t="s">
        <v>13</v>
      </c>
      <c r="B123" t="s">
        <v>17</v>
      </c>
      <c r="C123">
        <v>1</v>
      </c>
      <c r="D123">
        <v>-10</v>
      </c>
      <c r="E123">
        <v>2.9925925925925898</v>
      </c>
      <c r="G123">
        <v>1</v>
      </c>
    </row>
    <row r="124" spans="1:9" x14ac:dyDescent="0.35">
      <c r="A124" t="s">
        <v>12</v>
      </c>
      <c r="B124" t="s">
        <v>17</v>
      </c>
      <c r="C124">
        <v>1</v>
      </c>
      <c r="D124">
        <v>-3</v>
      </c>
      <c r="E124">
        <v>2.9703703703703699</v>
      </c>
      <c r="G124">
        <v>1</v>
      </c>
    </row>
    <row r="125" spans="1:9" x14ac:dyDescent="0.35">
      <c r="A125" t="s">
        <v>12</v>
      </c>
      <c r="B125" t="s">
        <v>17</v>
      </c>
      <c r="C125">
        <v>1</v>
      </c>
      <c r="D125">
        <v>5</v>
      </c>
      <c r="E125">
        <v>1.9851851851851801</v>
      </c>
      <c r="G125">
        <v>1</v>
      </c>
    </row>
    <row r="126" spans="1:9" x14ac:dyDescent="0.35">
      <c r="A126" t="s">
        <v>12</v>
      </c>
      <c r="B126" t="s">
        <v>16</v>
      </c>
      <c r="C126">
        <v>1</v>
      </c>
      <c r="D126">
        <v>0</v>
      </c>
      <c r="E126">
        <v>3.9925925925925898</v>
      </c>
      <c r="F126">
        <v>1</v>
      </c>
    </row>
    <row r="127" spans="1:9" x14ac:dyDescent="0.35">
      <c r="A127" t="s">
        <v>12</v>
      </c>
      <c r="B127" t="s">
        <v>16</v>
      </c>
      <c r="C127">
        <v>0</v>
      </c>
      <c r="D127">
        <v>3</v>
      </c>
      <c r="E127">
        <v>2.0074074074074</v>
      </c>
      <c r="H127">
        <v>1</v>
      </c>
    </row>
    <row r="128" spans="1:9" x14ac:dyDescent="0.35">
      <c r="A128" t="s">
        <v>12</v>
      </c>
      <c r="B128" t="s">
        <v>16</v>
      </c>
      <c r="C128">
        <v>0</v>
      </c>
      <c r="D128">
        <v>-1</v>
      </c>
      <c r="E128">
        <v>3</v>
      </c>
      <c r="H128">
        <v>1</v>
      </c>
    </row>
    <row r="129" spans="1:9" x14ac:dyDescent="0.35">
      <c r="A129" t="s">
        <v>12</v>
      </c>
      <c r="B129" t="s">
        <v>16</v>
      </c>
      <c r="C129">
        <v>1</v>
      </c>
      <c r="D129">
        <v>0</v>
      </c>
      <c r="E129">
        <v>3.0296296296296199</v>
      </c>
      <c r="F129">
        <v>1</v>
      </c>
    </row>
    <row r="130" spans="1:9" x14ac:dyDescent="0.35">
      <c r="A130" t="s">
        <v>12</v>
      </c>
      <c r="B130" t="s">
        <v>16</v>
      </c>
      <c r="C130">
        <v>1</v>
      </c>
      <c r="D130">
        <v>0</v>
      </c>
      <c r="E130">
        <v>1.9703703703703701</v>
      </c>
      <c r="F130">
        <v>1</v>
      </c>
    </row>
    <row r="131" spans="1:9" x14ac:dyDescent="0.35">
      <c r="A131" t="s">
        <v>12</v>
      </c>
      <c r="B131" t="s">
        <v>16</v>
      </c>
      <c r="C131">
        <v>1</v>
      </c>
      <c r="D131">
        <v>0</v>
      </c>
      <c r="E131">
        <v>2.9740740740740699</v>
      </c>
      <c r="F131">
        <v>1</v>
      </c>
    </row>
    <row r="132" spans="1:9" x14ac:dyDescent="0.35">
      <c r="A132" t="s">
        <v>12</v>
      </c>
      <c r="B132" t="s">
        <v>16</v>
      </c>
      <c r="C132">
        <v>1</v>
      </c>
      <c r="D132">
        <v>0</v>
      </c>
      <c r="E132">
        <v>3.0148148148148102</v>
      </c>
      <c r="F132">
        <v>1</v>
      </c>
    </row>
    <row r="133" spans="1:9" x14ac:dyDescent="0.35">
      <c r="A133" t="s">
        <v>12</v>
      </c>
      <c r="B133" t="s">
        <v>17</v>
      </c>
      <c r="C133">
        <v>0</v>
      </c>
      <c r="D133">
        <v>0</v>
      </c>
      <c r="E133">
        <v>5</v>
      </c>
      <c r="I133">
        <v>1</v>
      </c>
    </row>
    <row r="134" spans="1:9" x14ac:dyDescent="0.35">
      <c r="A134" t="s">
        <v>12</v>
      </c>
      <c r="B134" t="s">
        <v>16</v>
      </c>
      <c r="C134">
        <v>1</v>
      </c>
      <c r="D134">
        <v>0</v>
      </c>
      <c r="E134">
        <v>1.9814814814814801</v>
      </c>
      <c r="F134">
        <v>1</v>
      </c>
    </row>
    <row r="135" spans="1:9" x14ac:dyDescent="0.35">
      <c r="A135" t="s">
        <v>8</v>
      </c>
      <c r="B135" t="s">
        <v>16</v>
      </c>
      <c r="C135">
        <v>1</v>
      </c>
      <c r="D135">
        <v>0</v>
      </c>
      <c r="E135">
        <v>3.0185185185185102</v>
      </c>
      <c r="F135">
        <v>1</v>
      </c>
    </row>
    <row r="136" spans="1:9" x14ac:dyDescent="0.35">
      <c r="A136" t="s">
        <v>8</v>
      </c>
      <c r="B136" t="s">
        <v>17</v>
      </c>
      <c r="C136">
        <v>1</v>
      </c>
      <c r="D136">
        <v>-9</v>
      </c>
      <c r="E136">
        <v>3.0111111111111102</v>
      </c>
      <c r="G136">
        <v>1</v>
      </c>
    </row>
    <row r="137" spans="1:9" x14ac:dyDescent="0.35">
      <c r="A137" t="s">
        <v>8</v>
      </c>
      <c r="B137" t="s">
        <v>16</v>
      </c>
      <c r="C137">
        <v>1</v>
      </c>
      <c r="D137">
        <v>0</v>
      </c>
      <c r="E137">
        <v>3.0296296296296199</v>
      </c>
      <c r="F137">
        <v>1</v>
      </c>
    </row>
    <row r="138" spans="1:9" x14ac:dyDescent="0.35">
      <c r="A138" t="s">
        <v>8</v>
      </c>
      <c r="B138" t="s">
        <v>16</v>
      </c>
      <c r="C138">
        <v>1</v>
      </c>
      <c r="D138">
        <v>0</v>
      </c>
      <c r="E138">
        <v>2.9925925925925898</v>
      </c>
      <c r="F138">
        <v>1</v>
      </c>
    </row>
    <row r="139" spans="1:9" x14ac:dyDescent="0.35">
      <c r="A139" t="s">
        <v>8</v>
      </c>
      <c r="B139" t="s">
        <v>17</v>
      </c>
      <c r="C139">
        <v>0</v>
      </c>
      <c r="D139">
        <v>0</v>
      </c>
      <c r="E139">
        <v>1.9814814814814801</v>
      </c>
      <c r="I139">
        <v>1</v>
      </c>
    </row>
    <row r="140" spans="1:9" x14ac:dyDescent="0.35">
      <c r="A140" t="s">
        <v>8</v>
      </c>
      <c r="B140" t="s">
        <v>17</v>
      </c>
      <c r="C140">
        <v>1</v>
      </c>
      <c r="D140">
        <v>8</v>
      </c>
      <c r="E140">
        <v>2.0074074074074</v>
      </c>
      <c r="G140">
        <v>1</v>
      </c>
    </row>
    <row r="141" spans="1:9" x14ac:dyDescent="0.35">
      <c r="A141" t="s">
        <v>8</v>
      </c>
      <c r="B141" t="s">
        <v>16</v>
      </c>
      <c r="C141">
        <v>1</v>
      </c>
      <c r="D141">
        <v>0</v>
      </c>
      <c r="E141">
        <v>2.0037037037037</v>
      </c>
      <c r="F141">
        <v>1</v>
      </c>
    </row>
    <row r="142" spans="1:9" x14ac:dyDescent="0.35">
      <c r="A142" t="s">
        <v>8</v>
      </c>
      <c r="B142" t="s">
        <v>17</v>
      </c>
      <c r="C142">
        <v>1</v>
      </c>
      <c r="D142">
        <v>-10</v>
      </c>
      <c r="E142">
        <v>2.9962962962962898</v>
      </c>
      <c r="G142">
        <v>1</v>
      </c>
    </row>
    <row r="143" spans="1:9" x14ac:dyDescent="0.35">
      <c r="A143" t="s">
        <v>8</v>
      </c>
      <c r="B143" t="s">
        <v>17</v>
      </c>
      <c r="C143">
        <v>1</v>
      </c>
      <c r="D143">
        <v>-10</v>
      </c>
      <c r="E143">
        <v>2.0148148148148102</v>
      </c>
      <c r="G143">
        <v>1</v>
      </c>
    </row>
    <row r="144" spans="1:9" x14ac:dyDescent="0.35">
      <c r="A144" t="s">
        <v>8</v>
      </c>
      <c r="B144" t="s">
        <v>17</v>
      </c>
      <c r="C144">
        <v>1</v>
      </c>
      <c r="D144">
        <v>-6</v>
      </c>
      <c r="E144">
        <v>3</v>
      </c>
      <c r="G144">
        <v>1</v>
      </c>
    </row>
    <row r="145" spans="1:9" x14ac:dyDescent="0.35">
      <c r="A145" t="s">
        <v>8</v>
      </c>
      <c r="B145" t="s">
        <v>17</v>
      </c>
      <c r="C145">
        <v>1</v>
      </c>
      <c r="D145">
        <v>9</v>
      </c>
      <c r="E145">
        <v>3.0148148148148102</v>
      </c>
      <c r="G145">
        <v>1</v>
      </c>
    </row>
    <row r="146" spans="1:9" x14ac:dyDescent="0.35">
      <c r="A146" t="s">
        <v>1</v>
      </c>
      <c r="B146" t="s">
        <v>16</v>
      </c>
      <c r="C146">
        <v>1</v>
      </c>
      <c r="D146">
        <v>0</v>
      </c>
      <c r="E146">
        <v>2.0111111111111102</v>
      </c>
      <c r="F146">
        <v>1</v>
      </c>
    </row>
    <row r="147" spans="1:9" x14ac:dyDescent="0.35">
      <c r="A147" t="s">
        <v>1</v>
      </c>
      <c r="B147" t="s">
        <v>17</v>
      </c>
      <c r="C147">
        <v>1</v>
      </c>
      <c r="D147">
        <v>-9</v>
      </c>
      <c r="E147">
        <v>1.0037037037037</v>
      </c>
      <c r="G147">
        <v>1</v>
      </c>
    </row>
    <row r="148" spans="1:9" x14ac:dyDescent="0.35">
      <c r="A148" t="s">
        <v>1</v>
      </c>
      <c r="B148" t="s">
        <v>17</v>
      </c>
      <c r="C148">
        <v>0</v>
      </c>
      <c r="D148">
        <v>0</v>
      </c>
      <c r="E148">
        <v>2.0074074074074</v>
      </c>
      <c r="I148">
        <v>1</v>
      </c>
    </row>
    <row r="149" spans="1:9" x14ac:dyDescent="0.35">
      <c r="A149" t="s">
        <v>1</v>
      </c>
      <c r="B149" t="s">
        <v>16</v>
      </c>
      <c r="C149">
        <v>1</v>
      </c>
      <c r="D149">
        <v>0</v>
      </c>
      <c r="E149">
        <v>1</v>
      </c>
      <c r="F149">
        <v>1</v>
      </c>
    </row>
    <row r="150" spans="1:9" x14ac:dyDescent="0.35">
      <c r="A150" t="s">
        <v>1</v>
      </c>
      <c r="B150" t="s">
        <v>17</v>
      </c>
      <c r="C150">
        <v>1</v>
      </c>
      <c r="D150">
        <v>2</v>
      </c>
      <c r="E150">
        <v>3.0185185185185102</v>
      </c>
      <c r="G150">
        <v>1</v>
      </c>
    </row>
    <row r="151" spans="1:9" x14ac:dyDescent="0.35">
      <c r="A151" t="s">
        <v>1</v>
      </c>
      <c r="B151" t="s">
        <v>17</v>
      </c>
      <c r="C151">
        <v>1</v>
      </c>
      <c r="D151">
        <v>-7</v>
      </c>
      <c r="E151">
        <v>1.9703703703703701</v>
      </c>
      <c r="G151">
        <v>1</v>
      </c>
    </row>
    <row r="152" spans="1:9" x14ac:dyDescent="0.35">
      <c r="A152" t="s">
        <v>1</v>
      </c>
      <c r="B152" t="s">
        <v>16</v>
      </c>
      <c r="C152">
        <v>1</v>
      </c>
      <c r="D152">
        <v>0</v>
      </c>
      <c r="E152">
        <v>3.0370370370370301</v>
      </c>
      <c r="F152">
        <v>1</v>
      </c>
    </row>
    <row r="153" spans="1:9" x14ac:dyDescent="0.35">
      <c r="A153" t="s">
        <v>1</v>
      </c>
      <c r="B153" t="s">
        <v>16</v>
      </c>
      <c r="C153">
        <v>1</v>
      </c>
      <c r="D153">
        <v>0</v>
      </c>
      <c r="E153">
        <v>1</v>
      </c>
      <c r="F153">
        <v>1</v>
      </c>
    </row>
    <row r="154" spans="1:9" x14ac:dyDescent="0.35">
      <c r="A154" t="s">
        <v>1</v>
      </c>
      <c r="B154" t="s">
        <v>16</v>
      </c>
      <c r="C154">
        <v>1</v>
      </c>
      <c r="D154">
        <v>0</v>
      </c>
      <c r="E154">
        <v>3.0074074074074</v>
      </c>
      <c r="F154">
        <v>1</v>
      </c>
    </row>
    <row r="155" spans="1:9" x14ac:dyDescent="0.35">
      <c r="A155" t="s">
        <v>1</v>
      </c>
      <c r="B155" t="s">
        <v>16</v>
      </c>
      <c r="C155">
        <v>1</v>
      </c>
      <c r="D155">
        <v>0</v>
      </c>
      <c r="E155">
        <v>2</v>
      </c>
      <c r="F155">
        <v>1</v>
      </c>
    </row>
    <row r="156" spans="1:9" x14ac:dyDescent="0.35">
      <c r="A156" t="s">
        <v>1</v>
      </c>
      <c r="B156" t="s">
        <v>16</v>
      </c>
      <c r="C156">
        <v>1</v>
      </c>
      <c r="D156">
        <v>0</v>
      </c>
      <c r="E156">
        <v>2</v>
      </c>
      <c r="F156">
        <v>1</v>
      </c>
    </row>
    <row r="157" spans="1:9" x14ac:dyDescent="0.35">
      <c r="E157" t="s">
        <v>25</v>
      </c>
      <c r="F157">
        <f>SUM(F80:F156)</f>
        <v>34</v>
      </c>
      <c r="G157">
        <f t="shared" ref="G157:I157" si="1">SUM(G80:G156)</f>
        <v>28</v>
      </c>
      <c r="H157">
        <f t="shared" si="1"/>
        <v>3</v>
      </c>
      <c r="I157">
        <f t="shared" si="1"/>
        <v>12</v>
      </c>
    </row>
    <row r="159" spans="1:9" x14ac:dyDescent="0.35">
      <c r="E159" t="s">
        <v>26</v>
      </c>
      <c r="F159">
        <f>F157/(F157+I157)</f>
        <v>0.73913043478260865</v>
      </c>
    </row>
    <row r="160" spans="1:9" x14ac:dyDescent="0.35">
      <c r="E160" t="s">
        <v>27</v>
      </c>
      <c r="F160">
        <f>H157/(H157+G157)</f>
        <v>9.6774193548387094E-2</v>
      </c>
    </row>
    <row r="161" spans="5:6" x14ac:dyDescent="0.35">
      <c r="E161" t="s">
        <v>28</v>
      </c>
      <c r="F161">
        <f>NORMSINV(F159)-NORMSINV(F160)</f>
        <v>1.9408203232825272</v>
      </c>
    </row>
    <row r="163" spans="5:6" x14ac:dyDescent="0.35">
      <c r="E163" t="s">
        <v>29</v>
      </c>
      <c r="F163">
        <f>AVERAGE(C80:C156,1,E80:E156)</f>
        <v>1.7880286738351236</v>
      </c>
    </row>
    <row r="164" spans="5:6" x14ac:dyDescent="0.35">
      <c r="E164" t="s">
        <v>30</v>
      </c>
      <c r="F164">
        <f>AVERAGE(C80:C156,0,E80:E156)</f>
        <v>1.7815770609318977</v>
      </c>
    </row>
    <row r="166" spans="5:6" x14ac:dyDescent="0.35">
      <c r="E166" t="s">
        <v>39</v>
      </c>
      <c r="F166">
        <f>F163-F164</f>
        <v>6.4516129032259339E-3</v>
      </c>
    </row>
    <row r="167" spans="5:6" x14ac:dyDescent="0.35">
      <c r="E167" t="s">
        <v>37</v>
      </c>
      <c r="F167">
        <f>F166/F161</f>
        <v>3.3241680467949049E-3</v>
      </c>
    </row>
  </sheetData>
  <sortState xmlns:xlrd2="http://schemas.microsoft.com/office/spreadsheetml/2017/richdata2" ref="A1:I157">
    <sortCondition ref="A1:A1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Participant 1</vt:lpstr>
      <vt:lpstr>Participant 2</vt:lpstr>
      <vt:lpstr>Participant 3</vt:lpstr>
      <vt:lpstr>Participant 4</vt:lpstr>
      <vt:lpstr>Participant 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2025-11-20T02:46:41Z</dcterms:created>
  <dcterms:modified xsi:type="dcterms:W3CDTF">2025-11-20T11:35:42Z</dcterms:modified>
</cp:coreProperties>
</file>